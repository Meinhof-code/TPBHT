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RestoGrowth+\"/>
    </mc:Choice>
  </mc:AlternateContent>
  <xr:revisionPtr revIDLastSave="0" documentId="13_ncr:1_{4DB373FF-8C77-4967-A63D-A0F03D94DA7F}" xr6:coauthVersionLast="47" xr6:coauthVersionMax="47" xr10:uidLastSave="{00000000-0000-0000-0000-000000000000}"/>
  <bookViews>
    <workbookView minimized="1" xWindow="3105" yWindow="3105" windowWidth="7500" windowHeight="6000" activeTab="6" xr2:uid="{A463D9CA-1872-45DE-B4F5-9189FE831F78}"/>
  </bookViews>
  <sheets>
    <sheet name="CAJA" sheetId="4" r:id="rId1"/>
    <sheet name="TICKETS" sheetId="5" r:id="rId2"/>
    <sheet name="INVENTARIO" sheetId="2" r:id="rId3"/>
    <sheet name="BALANCE" sheetId="3" r:id="rId4"/>
    <sheet name="COMPOSICION" sheetId="6" r:id="rId5"/>
    <sheet name="COMPRAS" sheetId="53" r:id="rId6"/>
    <sheet name="GASTOS" sheetId="55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3" l="1"/>
  <c r="D3" i="53"/>
  <c r="D4" i="53"/>
  <c r="D5" i="53"/>
  <c r="D6" i="53"/>
  <c r="D7" i="53"/>
  <c r="D8" i="53"/>
  <c r="D9" i="53"/>
  <c r="D10" i="53"/>
  <c r="D11" i="53"/>
  <c r="D2" i="53"/>
  <c r="F4" i="55"/>
  <c r="D3" i="55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" i="55"/>
  <c r="D14" i="2"/>
  <c r="D13" i="2"/>
  <c r="D12" i="2"/>
  <c r="D5" i="2"/>
  <c r="D6" i="2"/>
  <c r="D7" i="2"/>
  <c r="D8" i="2"/>
  <c r="D9" i="2"/>
  <c r="D10" i="2"/>
  <c r="D11" i="2"/>
  <c r="E2" i="53" l="1"/>
  <c r="K5" i="3" s="1"/>
  <c r="K3" i="3"/>
  <c r="M4" i="3" l="1"/>
</calcChain>
</file>

<file path=xl/sharedStrings.xml><?xml version="1.0" encoding="utf-8"?>
<sst xmlns="http://schemas.openxmlformats.org/spreadsheetml/2006/main" count="98" uniqueCount="44">
  <si>
    <t>INVENTARIO</t>
  </si>
  <si>
    <t>Salchicha de pavo chica</t>
  </si>
  <si>
    <t>Salchicha de pavo jumbo</t>
  </si>
  <si>
    <t>Salchicha para asar</t>
  </si>
  <si>
    <t>Salchicha de res</t>
  </si>
  <si>
    <t>Salchicha Mayer</t>
  </si>
  <si>
    <t>Pan Jumbo</t>
  </si>
  <si>
    <t>Pan Chico</t>
  </si>
  <si>
    <t>Producto (desc)</t>
  </si>
  <si>
    <t>Cantidad</t>
  </si>
  <si>
    <t>Consumido</t>
  </si>
  <si>
    <t>Restante</t>
  </si>
  <si>
    <t>Punto estable</t>
  </si>
  <si>
    <t>Refresco regular</t>
  </si>
  <si>
    <t>Agua</t>
  </si>
  <si>
    <t>BALANCE</t>
  </si>
  <si>
    <t>Columna1</t>
  </si>
  <si>
    <t>Columna2</t>
  </si>
  <si>
    <t>FechaHora</t>
  </si>
  <si>
    <t>TotalPagado</t>
  </si>
  <si>
    <t>MetodoPago</t>
  </si>
  <si>
    <t>Perrillo Clásico</t>
  </si>
  <si>
    <t>Perrillo Mayer</t>
  </si>
  <si>
    <t>Perrillo Matón</t>
  </si>
  <si>
    <t>Perrillo Kirkland</t>
  </si>
  <si>
    <t>Perrillo Jumbo</t>
  </si>
  <si>
    <t>Fecha y Hora</t>
  </si>
  <si>
    <t>Desgloce</t>
  </si>
  <si>
    <t>Producto</t>
  </si>
  <si>
    <t>Insumo</t>
  </si>
  <si>
    <t>Refresco sabor</t>
  </si>
  <si>
    <t>Fuente de Venta</t>
  </si>
  <si>
    <t>Suma Ganancias</t>
  </si>
  <si>
    <t>Item</t>
  </si>
  <si>
    <t>Precio</t>
  </si>
  <si>
    <t>CONCEPTO</t>
  </si>
  <si>
    <t>CANTIDAD</t>
  </si>
  <si>
    <t>PRECIO</t>
  </si>
  <si>
    <t>PRECIO FINAL</t>
  </si>
  <si>
    <t>Ejemplo</t>
  </si>
  <si>
    <t>Suma Gastos</t>
  </si>
  <si>
    <t>Precio Final</t>
  </si>
  <si>
    <t>Suma Compras</t>
  </si>
  <si>
    <t>Diferencia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</si>
</sst>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_-&quot;$&quot;* #,##0_-;\-&quot;$&quot;* #,##0_-;_-&quot;$&quot;* &quot;-&quot;??_-;_-@_-"/>
  </numFmts>
  <fonts count="6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22" fontId="0" fillId="0" borderId="0" xfId="0" applyNumberFormat="1"/>
    <xf numFmtId="0" fontId="3" fillId="0" borderId="0" xfId="0" applyFont="1"/>
    <xf numFmtId="164" fontId="0" fillId="0" borderId="0" xfId="1" applyNumberFormat="1" applyFont="1"/>
    <xf numFmtId="44" fontId="0" fillId="0" borderId="0" xfId="1" applyFont="1"/>
    <xf numFmtId="0" fontId="0" fillId="5" borderId="0" xfId="0" applyFill="1"/>
    <xf numFmtId="0" fontId="2" fillId="5" borderId="0" xfId="0" applyFont="1" applyFill="1"/>
    <xf numFmtId="44" fontId="0" fillId="2" borderId="0" xfId="1" applyFont="1" applyFill="1"/>
    <xf numFmtId="44" fontId="0" fillId="0" borderId="0" xfId="0" applyNumberFormat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4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</cellXfs>
  <cellStyles count="2">
    <cellStyle name="Moneda" xfId="1" builtinId="4"/>
    <cellStyle name="Normal" xfId="0" builtinId="0"/>
  </cellStyles>
  <dxfs count="3">
    <dxf>
      <fill>
        <patternFill patternType="solid">
          <fgColor indexed="64"/>
          <bgColor rgb="FFFFFF00"/>
        </patternFill>
      </fill>
    </dxf>
    <dxf>
      <numFmt numFmtId="0" formatCode="General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710339</xdr:colOff>
      <xdr:row>24</xdr:row>
      <xdr:rowOff>16875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FC262AA-22B3-72D5-EBCD-C7A7D7467B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52"/>
        <a:stretch/>
      </xdr:blipFill>
      <xdr:spPr>
        <a:xfrm>
          <a:off x="0" y="0"/>
          <a:ext cx="4504195" cy="466636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4</xdr:row>
      <xdr:rowOff>161746</xdr:rowOff>
    </xdr:from>
    <xdr:to>
      <xdr:col>14</xdr:col>
      <xdr:colOff>71887</xdr:colOff>
      <xdr:row>18</xdr:row>
      <xdr:rowOff>1</xdr:rowOff>
    </xdr:to>
    <xdr:sp macro="[0]!NuevoPedidoButton_Click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6C7BE09-2793-B41C-2F19-4B71CBB2EF19}"/>
            </a:ext>
          </a:extLst>
        </xdr:cNvPr>
        <xdr:cNvSpPr/>
      </xdr:nvSpPr>
      <xdr:spPr>
        <a:xfrm>
          <a:off x="5283679" y="952501"/>
          <a:ext cx="5355566" cy="26058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5400" b="0">
              <a:solidFill>
                <a:sysClr val="windowText" lastClr="000000"/>
              </a:solidFill>
            </a:rPr>
            <a:t>CREAR</a:t>
          </a:r>
          <a:r>
            <a:rPr lang="es-MX" sz="5400" b="0" baseline="0">
              <a:solidFill>
                <a:sysClr val="windowText" lastClr="000000"/>
              </a:solidFill>
            </a:rPr>
            <a:t> UN NUEVO PEDIDO</a:t>
          </a:r>
          <a:endParaRPr lang="es-MX" sz="54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742950</xdr:colOff>
      <xdr:row>10</xdr:row>
      <xdr:rowOff>9525</xdr:rowOff>
    </xdr:from>
    <xdr:to>
      <xdr:col>11</xdr:col>
      <xdr:colOff>647700</xdr:colOff>
      <xdr:row>15</xdr:row>
      <xdr:rowOff>161925</xdr:rowOff>
    </xdr:to>
    <xdr:sp macro="[0]!GenerarInformeDiarioConGrafic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11830AD-E2DD-34B0-EABC-D707BB7C5984}"/>
            </a:ext>
          </a:extLst>
        </xdr:cNvPr>
        <xdr:cNvSpPr/>
      </xdr:nvSpPr>
      <xdr:spPr>
        <a:xfrm>
          <a:off x="7772400" y="1914525"/>
          <a:ext cx="2952750" cy="1104900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800">
              <a:solidFill>
                <a:sysClr val="windowText" lastClr="000000"/>
              </a:solidFill>
            </a:rPr>
            <a:t>GENERAR REPORTE DIARIO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1</xdr:row>
      <xdr:rowOff>95250</xdr:rowOff>
    </xdr:from>
    <xdr:to>
      <xdr:col>11</xdr:col>
      <xdr:colOff>561975</xdr:colOff>
      <xdr:row>7</xdr:row>
      <xdr:rowOff>152400</xdr:rowOff>
    </xdr:to>
    <xdr:sp macro="[0]!ActualizarCantidadEnInventarioDesdeCompr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4053786-A2D0-D557-0FEA-7A9E9DA5FC6E}"/>
            </a:ext>
          </a:extLst>
        </xdr:cNvPr>
        <xdr:cNvSpPr/>
      </xdr:nvSpPr>
      <xdr:spPr>
        <a:xfrm>
          <a:off x="6953250" y="285750"/>
          <a:ext cx="2762250" cy="1200150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800">
              <a:solidFill>
                <a:sysClr val="windowText" lastClr="000000"/>
              </a:solidFill>
            </a:rPr>
            <a:t>ACTUALIZAR INVENTARIO</a:t>
          </a:r>
          <a:endParaRPr lang="es-MX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85724</xdr:colOff>
      <xdr:row>11</xdr:row>
      <xdr:rowOff>57150</xdr:rowOff>
    </xdr:from>
    <xdr:to>
      <xdr:col>11</xdr:col>
      <xdr:colOff>552449</xdr:colOff>
      <xdr:row>17</xdr:row>
      <xdr:rowOff>171450</xdr:rowOff>
    </xdr:to>
    <xdr:sp macro="[0]!GenerarPDF_Compr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77F3209F-D7CC-76B2-2E91-9B5260A17EC8}"/>
            </a:ext>
          </a:extLst>
        </xdr:cNvPr>
        <xdr:cNvSpPr/>
      </xdr:nvSpPr>
      <xdr:spPr>
        <a:xfrm>
          <a:off x="6953249" y="2152650"/>
          <a:ext cx="2752725" cy="1257300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800">
              <a:solidFill>
                <a:sysClr val="windowText" lastClr="000000"/>
              </a:solidFill>
            </a:rPr>
            <a:t>REPORTE DE COMPRAS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2</xdr:row>
      <xdr:rowOff>171450</xdr:rowOff>
    </xdr:from>
    <xdr:to>
      <xdr:col>11</xdr:col>
      <xdr:colOff>685800</xdr:colOff>
      <xdr:row>9</xdr:row>
      <xdr:rowOff>85725</xdr:rowOff>
    </xdr:to>
    <xdr:sp macro="[0]!GenerarPDF_Gast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3747F72-B22A-05CC-0AEB-8AACA6910E24}"/>
            </a:ext>
          </a:extLst>
        </xdr:cNvPr>
        <xdr:cNvSpPr/>
      </xdr:nvSpPr>
      <xdr:spPr>
        <a:xfrm>
          <a:off x="6896100" y="552450"/>
          <a:ext cx="2371725" cy="1247775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800">
              <a:solidFill>
                <a:sysClr val="windowText" lastClr="000000"/>
              </a:solidFill>
            </a:rPr>
            <a:t>INFORME DE GASTOS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D40B3B-39FE-4A3B-9880-77231810CC5A}" name="Inventario" displayName="Inventario" ref="A4:F14" totalsRowShown="0" headerRowDxfId="2">
  <autoFilter ref="A4:F14" xr:uid="{A1D40B3B-39FE-4A3B-9880-77231810CC5A}"/>
  <tableColumns count="6">
    <tableColumn id="1" xr3:uid="{179E1599-F36C-458C-8107-1C027E574D67}" name="Producto (desc)"/>
    <tableColumn id="2" xr3:uid="{08C0BD04-75EE-4813-9D6C-8AEEBEE7CF77}" name="Cantidad"/>
    <tableColumn id="3" xr3:uid="{CA630A9E-5A82-4EB5-ADB5-4B003EF725B3}" name="Consumido"/>
    <tableColumn id="4" xr3:uid="{67552F7A-71F7-4BA5-B689-946D62BBCB27}" name="Restante" dataDxfId="1">
      <calculatedColumnFormula>Inventario[[#This Row],[Cantidad]]+Inventario[[#This Row],[Consumido]]</calculatedColumnFormula>
    </tableColumn>
    <tableColumn id="5" xr3:uid="{AFEE42F0-0904-4C4D-8FC6-4F9AE6C212CF}" name="Punto estable"/>
    <tableColumn id="6" xr3:uid="{A256D1A5-A2CD-4E0A-B442-7BD00E7CAE93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E81D3A-072D-4B52-839B-0C62EB587EAE}" name="Transacciones" displayName="Transacciones" ref="A4:G177" totalsRowShown="0" headerRowDxfId="0">
  <autoFilter ref="A4:G177" xr:uid="{2EE81D3A-072D-4B52-839B-0C62EB587EAE}"/>
  <tableColumns count="7">
    <tableColumn id="1" xr3:uid="{A298767C-144F-4DF1-8C4F-9449D1B7898F}" name="FechaHora"/>
    <tableColumn id="2" xr3:uid="{C60D692B-7055-4821-88AE-78007F9FCB68}" name="Item"/>
    <tableColumn id="3" xr3:uid="{1E1AC36B-E9FA-49D0-A98F-B0A9FE328034}" name="Cantidad"/>
    <tableColumn id="4" xr3:uid="{F944A328-C5EF-4DC4-B2A1-2C9DFE2BED1D}" name="TotalPagado"/>
    <tableColumn id="5" xr3:uid="{43E4D5DA-6138-4AF9-B6F2-F5B1D60A3F0E}" name="MetodoPago"/>
    <tableColumn id="6" xr3:uid="{7F41B6ED-F203-420D-8631-DA9AC720F2DF}" name="Fuente de Venta"/>
    <tableColumn id="7" xr3:uid="{CD946723-C2FC-4E26-B339-7AE87AE636B9}" name="Column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0786F-4108-4719-8DB9-B495D05D2699}">
  <sheetPr codeName="Hoja1"/>
  <dimension ref="H1:S21"/>
  <sheetViews>
    <sheetView showGridLines="0" zoomScale="55" zoomScaleNormal="55" workbookViewId="0">
      <selection activeCell="G41" sqref="G41"/>
    </sheetView>
  </sheetViews>
  <sheetFormatPr baseColWidth="10" defaultRowHeight="15" x14ac:dyDescent="0.25"/>
  <sheetData>
    <row r="1" spans="8:19" ht="15" customHeight="1" x14ac:dyDescent="0.9">
      <c r="H1" s="8"/>
      <c r="I1" s="9"/>
      <c r="J1" s="9"/>
      <c r="K1" s="9"/>
      <c r="L1" s="9"/>
      <c r="M1" s="9"/>
      <c r="N1" s="9"/>
    </row>
    <row r="2" spans="8:19" ht="15" customHeight="1" x14ac:dyDescent="0.9">
      <c r="H2" s="9"/>
      <c r="I2" s="9"/>
      <c r="J2" s="9"/>
      <c r="K2" s="9"/>
      <c r="L2" s="9"/>
      <c r="M2" s="9"/>
      <c r="N2" s="9"/>
    </row>
    <row r="3" spans="8:19" ht="15" customHeight="1" x14ac:dyDescent="0.9">
      <c r="H3" s="9"/>
      <c r="I3" s="9"/>
      <c r="J3" s="9"/>
      <c r="K3" s="9"/>
      <c r="L3" s="9"/>
      <c r="M3" s="9"/>
      <c r="N3" s="9"/>
    </row>
    <row r="4" spans="8:19" ht="15" customHeight="1" x14ac:dyDescent="0.9">
      <c r="H4" s="9"/>
      <c r="I4" s="9"/>
      <c r="J4" s="9"/>
      <c r="K4" s="9"/>
      <c r="L4" s="9"/>
      <c r="M4" s="9"/>
      <c r="N4" s="9"/>
    </row>
    <row r="5" spans="8:19" x14ac:dyDescent="0.25">
      <c r="R5" s="5"/>
    </row>
    <row r="14" spans="8:19" x14ac:dyDescent="0.25">
      <c r="S14" s="5"/>
    </row>
    <row r="18" spans="8:14" ht="15" customHeight="1" x14ac:dyDescent="0.9">
      <c r="H18" s="9"/>
      <c r="I18" s="9"/>
      <c r="J18" s="9"/>
      <c r="K18" s="9"/>
      <c r="L18" s="9"/>
      <c r="M18" s="9"/>
      <c r="N18" s="9"/>
    </row>
    <row r="19" spans="8:14" ht="15" customHeight="1" x14ac:dyDescent="0.9">
      <c r="H19" s="9"/>
      <c r="I19" s="9"/>
      <c r="J19" s="9"/>
      <c r="K19" s="9"/>
      <c r="L19" s="9"/>
      <c r="M19" s="9"/>
      <c r="N19" s="9"/>
    </row>
    <row r="20" spans="8:14" ht="15" customHeight="1" x14ac:dyDescent="0.9">
      <c r="H20" s="9"/>
      <c r="I20" s="9"/>
      <c r="J20" s="9"/>
      <c r="K20" s="9"/>
      <c r="L20" s="9"/>
      <c r="M20" s="9"/>
      <c r="N20" s="9"/>
    </row>
    <row r="21" spans="8:14" ht="15" customHeight="1" x14ac:dyDescent="0.9">
      <c r="H21" s="9"/>
      <c r="I21" s="9"/>
      <c r="J21" s="9"/>
      <c r="K21" s="9"/>
      <c r="L21" s="9"/>
      <c r="M21" s="9"/>
      <c r="N21" s="9"/>
    </row>
  </sheetData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9E71B-899A-44BC-B112-16B0A8287573}">
  <sheetPr codeName="Hoja3"/>
  <dimension ref="A1:Z753"/>
  <sheetViews>
    <sheetView zoomScale="81" workbookViewId="0">
      <selection activeCell="B19" sqref="B19"/>
    </sheetView>
  </sheetViews>
  <sheetFormatPr baseColWidth="10" defaultRowHeight="15" x14ac:dyDescent="0.25"/>
  <cols>
    <col min="1" max="1" width="22.7109375" customWidth="1"/>
    <col min="2" max="2" width="20" bestFit="1" customWidth="1"/>
    <col min="3" max="3" width="11.42578125" style="6"/>
    <col min="4" max="4" width="15.28515625" style="7" bestFit="1" customWidth="1"/>
  </cols>
  <sheetData>
    <row r="1" spans="1:26" x14ac:dyDescent="0.25">
      <c r="A1" s="3" t="s">
        <v>26</v>
      </c>
      <c r="B1" s="3" t="s">
        <v>27</v>
      </c>
      <c r="Z1">
        <v>42</v>
      </c>
    </row>
    <row r="2" spans="1:26" x14ac:dyDescent="0.25">
      <c r="A2" s="4"/>
    </row>
    <row r="3" spans="1:26" x14ac:dyDescent="0.25">
      <c r="A3" s="4"/>
    </row>
    <row r="4" spans="1:26" x14ac:dyDescent="0.25">
      <c r="A4" s="4"/>
    </row>
    <row r="5" spans="1:26" x14ac:dyDescent="0.25">
      <c r="A5" s="4"/>
    </row>
    <row r="6" spans="1:26" x14ac:dyDescent="0.25">
      <c r="A6" s="4"/>
    </row>
    <row r="7" spans="1:26" x14ac:dyDescent="0.25">
      <c r="A7" s="4"/>
    </row>
    <row r="8" spans="1:26" x14ac:dyDescent="0.25">
      <c r="A8" s="4"/>
    </row>
    <row r="9" spans="1:26" x14ac:dyDescent="0.25">
      <c r="A9" s="4"/>
    </row>
    <row r="10" spans="1:26" x14ac:dyDescent="0.25">
      <c r="A10" s="4"/>
    </row>
    <row r="11" spans="1:26" x14ac:dyDescent="0.25">
      <c r="A11" s="4"/>
    </row>
    <row r="12" spans="1:26" x14ac:dyDescent="0.25">
      <c r="A12" s="4"/>
    </row>
    <row r="13" spans="1:26" x14ac:dyDescent="0.25">
      <c r="A13" s="4"/>
    </row>
    <row r="14" spans="1:26" x14ac:dyDescent="0.25">
      <c r="A14" s="4"/>
    </row>
    <row r="15" spans="1:26" x14ac:dyDescent="0.25">
      <c r="A15" s="4"/>
    </row>
    <row r="16" spans="1:26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  <row r="73" spans="1:1" x14ac:dyDescent="0.25">
      <c r="A73" s="4"/>
    </row>
    <row r="74" spans="1:1" x14ac:dyDescent="0.25">
      <c r="A74" s="4"/>
    </row>
    <row r="75" spans="1:1" x14ac:dyDescent="0.25">
      <c r="A75" s="4"/>
    </row>
    <row r="76" spans="1:1" x14ac:dyDescent="0.25">
      <c r="A76" s="4"/>
    </row>
    <row r="77" spans="1:1" x14ac:dyDescent="0.25">
      <c r="A77" s="4"/>
    </row>
    <row r="78" spans="1:1" x14ac:dyDescent="0.25">
      <c r="A78" s="4"/>
    </row>
    <row r="79" spans="1:1" x14ac:dyDescent="0.25">
      <c r="A79" s="4"/>
    </row>
    <row r="80" spans="1:1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x14ac:dyDescent="0.25">
      <c r="A136" s="4"/>
    </row>
    <row r="137" spans="1:1" x14ac:dyDescent="0.25">
      <c r="A137" s="4"/>
    </row>
    <row r="138" spans="1:1" x14ac:dyDescent="0.25">
      <c r="A138" s="4"/>
    </row>
    <row r="139" spans="1:1" x14ac:dyDescent="0.25">
      <c r="A139" s="4"/>
    </row>
    <row r="140" spans="1: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  <row r="144" spans="1:1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  <row r="168" spans="1:1" x14ac:dyDescent="0.25">
      <c r="A168" s="4"/>
    </row>
    <row r="169" spans="1:1" x14ac:dyDescent="0.25">
      <c r="A169" s="4"/>
    </row>
    <row r="170" spans="1:1" x14ac:dyDescent="0.25">
      <c r="A170" s="4"/>
    </row>
    <row r="171" spans="1:1" x14ac:dyDescent="0.25">
      <c r="A171" s="4"/>
    </row>
    <row r="172" spans="1:1" x14ac:dyDescent="0.25">
      <c r="A172" s="4"/>
    </row>
    <row r="173" spans="1:1" x14ac:dyDescent="0.25">
      <c r="A173" s="4"/>
    </row>
    <row r="174" spans="1:1" x14ac:dyDescent="0.25">
      <c r="A174" s="4"/>
    </row>
    <row r="175" spans="1:1" x14ac:dyDescent="0.25">
      <c r="A175" s="4"/>
    </row>
    <row r="176" spans="1:1" x14ac:dyDescent="0.25">
      <c r="A176" s="4"/>
    </row>
    <row r="177" spans="1:1" x14ac:dyDescent="0.25">
      <c r="A177" s="4"/>
    </row>
    <row r="178" spans="1:1" x14ac:dyDescent="0.25">
      <c r="A178" s="4"/>
    </row>
    <row r="179" spans="1:1" x14ac:dyDescent="0.25">
      <c r="A179" s="4"/>
    </row>
    <row r="180" spans="1:1" x14ac:dyDescent="0.25">
      <c r="A180" s="4"/>
    </row>
    <row r="181" spans="1:1" x14ac:dyDescent="0.25">
      <c r="A181" s="4"/>
    </row>
    <row r="182" spans="1:1" x14ac:dyDescent="0.25">
      <c r="A182" s="4"/>
    </row>
    <row r="183" spans="1:1" x14ac:dyDescent="0.25">
      <c r="A183" s="4"/>
    </row>
    <row r="184" spans="1:1" x14ac:dyDescent="0.25">
      <c r="A184" s="4"/>
    </row>
    <row r="185" spans="1:1" x14ac:dyDescent="0.25">
      <c r="A185" s="4"/>
    </row>
    <row r="186" spans="1:1" x14ac:dyDescent="0.25">
      <c r="A186" s="4"/>
    </row>
    <row r="187" spans="1:1" x14ac:dyDescent="0.25">
      <c r="A187" s="4"/>
    </row>
    <row r="188" spans="1:1" x14ac:dyDescent="0.25">
      <c r="A188" s="4"/>
    </row>
    <row r="189" spans="1:1" x14ac:dyDescent="0.25">
      <c r="A189" s="4"/>
    </row>
    <row r="190" spans="1:1" x14ac:dyDescent="0.25">
      <c r="A190" s="4"/>
    </row>
    <row r="191" spans="1:1" x14ac:dyDescent="0.25">
      <c r="A191" s="4"/>
    </row>
    <row r="192" spans="1:1" x14ac:dyDescent="0.25">
      <c r="A192" s="4"/>
    </row>
    <row r="193" spans="1:1" x14ac:dyDescent="0.25">
      <c r="A193" s="4"/>
    </row>
    <row r="194" spans="1:1" x14ac:dyDescent="0.25">
      <c r="A194" s="4"/>
    </row>
    <row r="195" spans="1:1" x14ac:dyDescent="0.25">
      <c r="A195" s="4"/>
    </row>
    <row r="196" spans="1:1" x14ac:dyDescent="0.25">
      <c r="A196" s="4"/>
    </row>
    <row r="197" spans="1:1" x14ac:dyDescent="0.25">
      <c r="A197" s="4"/>
    </row>
    <row r="198" spans="1:1" x14ac:dyDescent="0.25">
      <c r="A198" s="4"/>
    </row>
    <row r="199" spans="1:1" x14ac:dyDescent="0.25">
      <c r="A199" s="4"/>
    </row>
    <row r="200" spans="1:1" x14ac:dyDescent="0.25">
      <c r="A200" s="4"/>
    </row>
    <row r="201" spans="1:1" x14ac:dyDescent="0.25">
      <c r="A201" s="4"/>
    </row>
    <row r="202" spans="1:1" x14ac:dyDescent="0.25">
      <c r="A202" s="4"/>
    </row>
    <row r="203" spans="1:1" x14ac:dyDescent="0.25">
      <c r="A203" s="4"/>
    </row>
    <row r="204" spans="1:1" x14ac:dyDescent="0.25">
      <c r="A204" s="4"/>
    </row>
    <row r="205" spans="1:1" x14ac:dyDescent="0.25">
      <c r="A205" s="4"/>
    </row>
    <row r="206" spans="1:1" x14ac:dyDescent="0.25">
      <c r="A206" s="4"/>
    </row>
    <row r="207" spans="1:1" x14ac:dyDescent="0.25">
      <c r="A207" s="4"/>
    </row>
    <row r="208" spans="1:1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  <row r="255" spans="1:1" x14ac:dyDescent="0.25">
      <c r="A255" s="4"/>
    </row>
    <row r="256" spans="1:1" x14ac:dyDescent="0.25">
      <c r="A256" s="4"/>
    </row>
    <row r="257" spans="1:1" x14ac:dyDescent="0.25">
      <c r="A257" s="4"/>
    </row>
    <row r="258" spans="1:1" x14ac:dyDescent="0.25">
      <c r="A258" s="4"/>
    </row>
    <row r="259" spans="1:1" x14ac:dyDescent="0.25">
      <c r="A259" s="4"/>
    </row>
    <row r="260" spans="1:1" x14ac:dyDescent="0.25">
      <c r="A260" s="4"/>
    </row>
    <row r="261" spans="1:1" x14ac:dyDescent="0.25">
      <c r="A261" s="4"/>
    </row>
    <row r="262" spans="1:1" x14ac:dyDescent="0.25">
      <c r="A262" s="4"/>
    </row>
    <row r="263" spans="1:1" x14ac:dyDescent="0.25">
      <c r="A263" s="4"/>
    </row>
    <row r="264" spans="1:1" x14ac:dyDescent="0.25">
      <c r="A264" s="4"/>
    </row>
    <row r="265" spans="1:1" x14ac:dyDescent="0.25">
      <c r="A265" s="4"/>
    </row>
    <row r="266" spans="1:1" x14ac:dyDescent="0.25">
      <c r="A266" s="4"/>
    </row>
    <row r="267" spans="1:1" x14ac:dyDescent="0.25">
      <c r="A267" s="4"/>
    </row>
    <row r="268" spans="1:1" x14ac:dyDescent="0.25">
      <c r="A268" s="4"/>
    </row>
    <row r="269" spans="1:1" x14ac:dyDescent="0.25">
      <c r="A269" s="4"/>
    </row>
    <row r="270" spans="1:1" x14ac:dyDescent="0.25">
      <c r="A270" s="4"/>
    </row>
    <row r="271" spans="1:1" x14ac:dyDescent="0.25">
      <c r="A271" s="4"/>
    </row>
    <row r="272" spans="1:1" x14ac:dyDescent="0.25">
      <c r="A272" s="4"/>
    </row>
    <row r="273" spans="1:1" x14ac:dyDescent="0.25">
      <c r="A273" s="4"/>
    </row>
    <row r="274" spans="1:1" x14ac:dyDescent="0.25">
      <c r="A274" s="4"/>
    </row>
    <row r="275" spans="1:1" x14ac:dyDescent="0.25">
      <c r="A275" s="4"/>
    </row>
    <row r="276" spans="1:1" x14ac:dyDescent="0.25">
      <c r="A276" s="4"/>
    </row>
    <row r="277" spans="1:1" x14ac:dyDescent="0.25">
      <c r="A277" s="4"/>
    </row>
    <row r="278" spans="1:1" x14ac:dyDescent="0.25">
      <c r="A278" s="4"/>
    </row>
    <row r="279" spans="1:1" x14ac:dyDescent="0.25">
      <c r="A279" s="4"/>
    </row>
    <row r="280" spans="1:1" x14ac:dyDescent="0.25">
      <c r="A280" s="4"/>
    </row>
    <row r="281" spans="1:1" x14ac:dyDescent="0.25">
      <c r="A281" s="4"/>
    </row>
    <row r="282" spans="1:1" x14ac:dyDescent="0.25">
      <c r="A282" s="4"/>
    </row>
    <row r="283" spans="1:1" x14ac:dyDescent="0.25">
      <c r="A283" s="4"/>
    </row>
    <row r="284" spans="1:1" x14ac:dyDescent="0.25">
      <c r="A284" s="4"/>
    </row>
    <row r="285" spans="1:1" x14ac:dyDescent="0.25">
      <c r="A285" s="4"/>
    </row>
    <row r="286" spans="1:1" x14ac:dyDescent="0.25">
      <c r="A286" s="4"/>
    </row>
    <row r="287" spans="1:1" x14ac:dyDescent="0.25">
      <c r="A287" s="4"/>
    </row>
    <row r="288" spans="1:1" x14ac:dyDescent="0.25">
      <c r="A288" s="4"/>
    </row>
    <row r="289" spans="1:1" x14ac:dyDescent="0.25">
      <c r="A289" s="4"/>
    </row>
    <row r="290" spans="1:1" x14ac:dyDescent="0.25">
      <c r="A290" s="4"/>
    </row>
    <row r="291" spans="1:1" x14ac:dyDescent="0.25">
      <c r="A291" s="4"/>
    </row>
    <row r="292" spans="1:1" x14ac:dyDescent="0.25">
      <c r="A292" s="4"/>
    </row>
    <row r="293" spans="1:1" x14ac:dyDescent="0.25">
      <c r="A293" s="4"/>
    </row>
    <row r="294" spans="1:1" x14ac:dyDescent="0.25">
      <c r="A294" s="4"/>
    </row>
    <row r="295" spans="1:1" x14ac:dyDescent="0.25">
      <c r="A295" s="4"/>
    </row>
    <row r="296" spans="1:1" x14ac:dyDescent="0.25">
      <c r="A296" s="4"/>
    </row>
    <row r="297" spans="1:1" x14ac:dyDescent="0.25">
      <c r="A297" s="4"/>
    </row>
    <row r="298" spans="1:1" x14ac:dyDescent="0.25">
      <c r="A298" s="4"/>
    </row>
    <row r="299" spans="1:1" x14ac:dyDescent="0.25">
      <c r="A299" s="4"/>
    </row>
    <row r="300" spans="1:1" x14ac:dyDescent="0.25">
      <c r="A300" s="4"/>
    </row>
    <row r="301" spans="1:1" x14ac:dyDescent="0.25">
      <c r="A301" s="4"/>
    </row>
    <row r="302" spans="1:1" x14ac:dyDescent="0.25">
      <c r="A302" s="4"/>
    </row>
    <row r="303" spans="1:1" x14ac:dyDescent="0.25">
      <c r="A303" s="4"/>
    </row>
    <row r="304" spans="1:1" x14ac:dyDescent="0.25">
      <c r="A304" s="4"/>
    </row>
    <row r="305" spans="1:1" x14ac:dyDescent="0.25">
      <c r="A305" s="4"/>
    </row>
    <row r="306" spans="1:1" x14ac:dyDescent="0.25">
      <c r="A306" s="4"/>
    </row>
    <row r="307" spans="1:1" x14ac:dyDescent="0.25">
      <c r="A307" s="4"/>
    </row>
    <row r="308" spans="1:1" x14ac:dyDescent="0.25">
      <c r="A308" s="4"/>
    </row>
    <row r="309" spans="1:1" x14ac:dyDescent="0.25">
      <c r="A309" s="4"/>
    </row>
    <row r="310" spans="1:1" x14ac:dyDescent="0.25">
      <c r="A310" s="4"/>
    </row>
    <row r="311" spans="1:1" x14ac:dyDescent="0.25">
      <c r="A311" s="4"/>
    </row>
    <row r="312" spans="1:1" x14ac:dyDescent="0.25">
      <c r="A312" s="4"/>
    </row>
    <row r="313" spans="1:1" x14ac:dyDescent="0.25">
      <c r="A313" s="4"/>
    </row>
    <row r="314" spans="1:1" x14ac:dyDescent="0.25">
      <c r="A314" s="4"/>
    </row>
    <row r="315" spans="1:1" x14ac:dyDescent="0.25">
      <c r="A315" s="4"/>
    </row>
    <row r="316" spans="1:1" x14ac:dyDescent="0.25">
      <c r="A316" s="4"/>
    </row>
    <row r="317" spans="1:1" x14ac:dyDescent="0.25">
      <c r="A317" s="4"/>
    </row>
    <row r="318" spans="1:1" x14ac:dyDescent="0.25">
      <c r="A318" s="4"/>
    </row>
    <row r="319" spans="1:1" x14ac:dyDescent="0.25">
      <c r="A319" s="4"/>
    </row>
    <row r="320" spans="1:1" x14ac:dyDescent="0.25">
      <c r="A320" s="4"/>
    </row>
    <row r="321" spans="1:1" x14ac:dyDescent="0.25">
      <c r="A321" s="4"/>
    </row>
    <row r="322" spans="1:1" x14ac:dyDescent="0.25">
      <c r="A322" s="4"/>
    </row>
    <row r="323" spans="1:1" x14ac:dyDescent="0.25">
      <c r="A323" s="4"/>
    </row>
    <row r="324" spans="1:1" x14ac:dyDescent="0.25">
      <c r="A324" s="4"/>
    </row>
    <row r="325" spans="1:1" x14ac:dyDescent="0.25">
      <c r="A325" s="4"/>
    </row>
    <row r="326" spans="1:1" x14ac:dyDescent="0.25">
      <c r="A326" s="4"/>
    </row>
    <row r="327" spans="1:1" x14ac:dyDescent="0.25">
      <c r="A327" s="4"/>
    </row>
    <row r="328" spans="1:1" x14ac:dyDescent="0.25">
      <c r="A328" s="4"/>
    </row>
    <row r="329" spans="1:1" x14ac:dyDescent="0.25">
      <c r="A329" s="4"/>
    </row>
    <row r="330" spans="1:1" x14ac:dyDescent="0.25">
      <c r="A330" s="4"/>
    </row>
    <row r="331" spans="1:1" x14ac:dyDescent="0.25">
      <c r="A331" s="4"/>
    </row>
    <row r="332" spans="1:1" x14ac:dyDescent="0.25">
      <c r="A332" s="4"/>
    </row>
    <row r="333" spans="1:1" x14ac:dyDescent="0.25">
      <c r="A333" s="4"/>
    </row>
    <row r="334" spans="1:1" x14ac:dyDescent="0.25">
      <c r="A334" s="4"/>
    </row>
    <row r="335" spans="1:1" x14ac:dyDescent="0.25">
      <c r="A335" s="4"/>
    </row>
    <row r="336" spans="1:1" x14ac:dyDescent="0.25">
      <c r="A336" s="4"/>
    </row>
    <row r="337" spans="1:1" x14ac:dyDescent="0.25">
      <c r="A337" s="4"/>
    </row>
    <row r="338" spans="1:1" x14ac:dyDescent="0.25">
      <c r="A338" s="4"/>
    </row>
    <row r="339" spans="1:1" x14ac:dyDescent="0.25">
      <c r="A339" s="4"/>
    </row>
    <row r="340" spans="1:1" x14ac:dyDescent="0.25">
      <c r="A340" s="4"/>
    </row>
    <row r="341" spans="1:1" x14ac:dyDescent="0.25">
      <c r="A341" s="4"/>
    </row>
    <row r="342" spans="1:1" x14ac:dyDescent="0.25">
      <c r="A342" s="4"/>
    </row>
    <row r="343" spans="1:1" x14ac:dyDescent="0.25">
      <c r="A343" s="4"/>
    </row>
    <row r="344" spans="1:1" x14ac:dyDescent="0.25">
      <c r="A344" s="4"/>
    </row>
    <row r="345" spans="1:1" x14ac:dyDescent="0.25">
      <c r="A345" s="4"/>
    </row>
    <row r="346" spans="1:1" x14ac:dyDescent="0.25">
      <c r="A346" s="4"/>
    </row>
    <row r="347" spans="1:1" x14ac:dyDescent="0.25">
      <c r="A347" s="4"/>
    </row>
    <row r="348" spans="1:1" x14ac:dyDescent="0.25">
      <c r="A348" s="4"/>
    </row>
    <row r="349" spans="1:1" x14ac:dyDescent="0.25">
      <c r="A349" s="4"/>
    </row>
    <row r="350" spans="1:1" x14ac:dyDescent="0.25">
      <c r="A350" s="4"/>
    </row>
    <row r="351" spans="1:1" x14ac:dyDescent="0.25">
      <c r="A351" s="4"/>
    </row>
    <row r="352" spans="1:1" x14ac:dyDescent="0.25">
      <c r="A352" s="4"/>
    </row>
    <row r="353" spans="1:1" x14ac:dyDescent="0.25">
      <c r="A353" s="4"/>
    </row>
    <row r="354" spans="1:1" x14ac:dyDescent="0.25">
      <c r="A354" s="4"/>
    </row>
    <row r="355" spans="1:1" x14ac:dyDescent="0.25">
      <c r="A355" s="4"/>
    </row>
    <row r="356" spans="1:1" x14ac:dyDescent="0.25">
      <c r="A356" s="4"/>
    </row>
    <row r="357" spans="1:1" x14ac:dyDescent="0.25">
      <c r="A357" s="4"/>
    </row>
    <row r="358" spans="1:1" x14ac:dyDescent="0.25">
      <c r="A358" s="4"/>
    </row>
    <row r="359" spans="1:1" x14ac:dyDescent="0.25">
      <c r="A359" s="4"/>
    </row>
    <row r="360" spans="1:1" x14ac:dyDescent="0.25">
      <c r="A360" s="4"/>
    </row>
    <row r="361" spans="1:1" x14ac:dyDescent="0.25">
      <c r="A361" s="4"/>
    </row>
    <row r="362" spans="1:1" x14ac:dyDescent="0.25">
      <c r="A362" s="4"/>
    </row>
    <row r="363" spans="1:1" x14ac:dyDescent="0.25">
      <c r="A363" s="4"/>
    </row>
    <row r="364" spans="1:1" x14ac:dyDescent="0.25">
      <c r="A364" s="4"/>
    </row>
    <row r="365" spans="1:1" x14ac:dyDescent="0.25">
      <c r="A365" s="4"/>
    </row>
    <row r="366" spans="1:1" x14ac:dyDescent="0.25">
      <c r="A366" s="4"/>
    </row>
    <row r="367" spans="1:1" x14ac:dyDescent="0.25">
      <c r="A367" s="4"/>
    </row>
    <row r="368" spans="1:1" x14ac:dyDescent="0.25">
      <c r="A368" s="4"/>
    </row>
    <row r="369" spans="1:1" x14ac:dyDescent="0.25">
      <c r="A369" s="4"/>
    </row>
    <row r="370" spans="1:1" x14ac:dyDescent="0.25">
      <c r="A370" s="4"/>
    </row>
    <row r="371" spans="1:1" x14ac:dyDescent="0.25">
      <c r="A371" s="4"/>
    </row>
    <row r="372" spans="1:1" x14ac:dyDescent="0.25">
      <c r="A372" s="4"/>
    </row>
    <row r="373" spans="1:1" x14ac:dyDescent="0.25">
      <c r="A373" s="4"/>
    </row>
    <row r="374" spans="1:1" x14ac:dyDescent="0.25">
      <c r="A374" s="4"/>
    </row>
    <row r="375" spans="1:1" x14ac:dyDescent="0.25">
      <c r="A375" s="4"/>
    </row>
    <row r="376" spans="1:1" x14ac:dyDescent="0.25">
      <c r="A376" s="4"/>
    </row>
    <row r="377" spans="1:1" x14ac:dyDescent="0.25">
      <c r="A377" s="4"/>
    </row>
    <row r="378" spans="1:1" x14ac:dyDescent="0.25">
      <c r="A378" s="4"/>
    </row>
    <row r="379" spans="1:1" x14ac:dyDescent="0.25">
      <c r="A379" s="4"/>
    </row>
    <row r="380" spans="1:1" x14ac:dyDescent="0.25">
      <c r="A380" s="4"/>
    </row>
    <row r="381" spans="1:1" x14ac:dyDescent="0.25">
      <c r="A381" s="4"/>
    </row>
    <row r="382" spans="1:1" x14ac:dyDescent="0.25">
      <c r="A382" s="4"/>
    </row>
    <row r="383" spans="1:1" x14ac:dyDescent="0.25">
      <c r="A383" s="4"/>
    </row>
    <row r="384" spans="1:1" x14ac:dyDescent="0.25">
      <c r="A384" s="4"/>
    </row>
    <row r="385" spans="1:1" x14ac:dyDescent="0.25">
      <c r="A385" s="4"/>
    </row>
    <row r="386" spans="1:1" x14ac:dyDescent="0.25">
      <c r="A386" s="4"/>
    </row>
    <row r="387" spans="1:1" x14ac:dyDescent="0.25">
      <c r="A387" s="4"/>
    </row>
    <row r="388" spans="1:1" x14ac:dyDescent="0.25">
      <c r="A388" s="4"/>
    </row>
    <row r="389" spans="1:1" x14ac:dyDescent="0.25">
      <c r="A389" s="4"/>
    </row>
    <row r="390" spans="1:1" x14ac:dyDescent="0.25">
      <c r="A390" s="4"/>
    </row>
    <row r="391" spans="1:1" x14ac:dyDescent="0.25">
      <c r="A391" s="4"/>
    </row>
    <row r="392" spans="1:1" x14ac:dyDescent="0.25">
      <c r="A392" s="4"/>
    </row>
    <row r="393" spans="1:1" x14ac:dyDescent="0.25">
      <c r="A393" s="4"/>
    </row>
    <row r="394" spans="1:1" x14ac:dyDescent="0.25">
      <c r="A394" s="4"/>
    </row>
    <row r="395" spans="1:1" x14ac:dyDescent="0.25">
      <c r="A395" s="4"/>
    </row>
    <row r="396" spans="1:1" x14ac:dyDescent="0.25">
      <c r="A396" s="4"/>
    </row>
    <row r="397" spans="1:1" x14ac:dyDescent="0.25">
      <c r="A397" s="4"/>
    </row>
    <row r="398" spans="1:1" x14ac:dyDescent="0.25">
      <c r="A398" s="4"/>
    </row>
    <row r="399" spans="1:1" x14ac:dyDescent="0.25">
      <c r="A399" s="4"/>
    </row>
    <row r="400" spans="1:1" x14ac:dyDescent="0.25">
      <c r="A400" s="4"/>
    </row>
    <row r="401" spans="1:1" x14ac:dyDescent="0.25">
      <c r="A401" s="4"/>
    </row>
    <row r="402" spans="1:1" x14ac:dyDescent="0.25">
      <c r="A402" s="4"/>
    </row>
    <row r="403" spans="1:1" x14ac:dyDescent="0.25">
      <c r="A403" s="4"/>
    </row>
    <row r="404" spans="1:1" x14ac:dyDescent="0.25">
      <c r="A404" s="4"/>
    </row>
    <row r="405" spans="1:1" x14ac:dyDescent="0.25">
      <c r="A405" s="4"/>
    </row>
    <row r="406" spans="1:1" x14ac:dyDescent="0.25">
      <c r="A406" s="4"/>
    </row>
    <row r="407" spans="1:1" x14ac:dyDescent="0.25">
      <c r="A407" s="4"/>
    </row>
    <row r="408" spans="1:1" x14ac:dyDescent="0.25">
      <c r="A408" s="4"/>
    </row>
    <row r="409" spans="1:1" x14ac:dyDescent="0.25">
      <c r="A409" s="4"/>
    </row>
    <row r="410" spans="1:1" x14ac:dyDescent="0.25">
      <c r="A410" s="4"/>
    </row>
    <row r="411" spans="1:1" x14ac:dyDescent="0.25">
      <c r="A411" s="4"/>
    </row>
    <row r="412" spans="1:1" x14ac:dyDescent="0.25">
      <c r="A412" s="4"/>
    </row>
    <row r="413" spans="1:1" x14ac:dyDescent="0.25">
      <c r="A413" s="4"/>
    </row>
    <row r="414" spans="1:1" x14ac:dyDescent="0.25">
      <c r="A414" s="4"/>
    </row>
    <row r="415" spans="1:1" x14ac:dyDescent="0.25">
      <c r="A415" s="4"/>
    </row>
    <row r="416" spans="1:1" x14ac:dyDescent="0.25">
      <c r="A416" s="4"/>
    </row>
    <row r="417" spans="1:1" x14ac:dyDescent="0.25">
      <c r="A417" s="4"/>
    </row>
    <row r="418" spans="1:1" x14ac:dyDescent="0.25">
      <c r="A418" s="4"/>
    </row>
    <row r="419" spans="1:1" x14ac:dyDescent="0.25">
      <c r="A419" s="4"/>
    </row>
    <row r="420" spans="1:1" x14ac:dyDescent="0.25">
      <c r="A420" s="4"/>
    </row>
    <row r="421" spans="1:1" x14ac:dyDescent="0.25">
      <c r="A421" s="4"/>
    </row>
    <row r="422" spans="1:1" x14ac:dyDescent="0.25">
      <c r="A422" s="4"/>
    </row>
    <row r="423" spans="1:1" x14ac:dyDescent="0.25">
      <c r="A423" s="4"/>
    </row>
    <row r="424" spans="1:1" x14ac:dyDescent="0.25">
      <c r="A424" s="4"/>
    </row>
    <row r="425" spans="1:1" x14ac:dyDescent="0.25">
      <c r="A425" s="4"/>
    </row>
    <row r="426" spans="1:1" x14ac:dyDescent="0.25">
      <c r="A426" s="4"/>
    </row>
    <row r="427" spans="1:1" x14ac:dyDescent="0.25">
      <c r="A427" s="4"/>
    </row>
    <row r="428" spans="1:1" x14ac:dyDescent="0.25">
      <c r="A428" s="4"/>
    </row>
    <row r="429" spans="1:1" x14ac:dyDescent="0.25">
      <c r="A429" s="4"/>
    </row>
    <row r="430" spans="1:1" x14ac:dyDescent="0.25">
      <c r="A430" s="4"/>
    </row>
    <row r="431" spans="1:1" x14ac:dyDescent="0.25">
      <c r="A431" s="4"/>
    </row>
    <row r="432" spans="1:1" x14ac:dyDescent="0.25">
      <c r="A432" s="4"/>
    </row>
    <row r="433" spans="1:1" x14ac:dyDescent="0.25">
      <c r="A433" s="4"/>
    </row>
    <row r="434" spans="1:1" x14ac:dyDescent="0.25">
      <c r="A434" s="4"/>
    </row>
    <row r="435" spans="1:1" x14ac:dyDescent="0.25">
      <c r="A435" s="4"/>
    </row>
    <row r="436" spans="1:1" x14ac:dyDescent="0.25">
      <c r="A436" s="4"/>
    </row>
    <row r="437" spans="1:1" x14ac:dyDescent="0.25">
      <c r="A437" s="4"/>
    </row>
    <row r="438" spans="1:1" x14ac:dyDescent="0.25">
      <c r="A438" s="4"/>
    </row>
    <row r="439" spans="1:1" x14ac:dyDescent="0.25">
      <c r="A439" s="4"/>
    </row>
    <row r="440" spans="1:1" x14ac:dyDescent="0.25">
      <c r="A440" s="4"/>
    </row>
    <row r="441" spans="1:1" x14ac:dyDescent="0.25">
      <c r="A441" s="4"/>
    </row>
    <row r="442" spans="1:1" x14ac:dyDescent="0.25">
      <c r="A442" s="4"/>
    </row>
    <row r="443" spans="1:1" x14ac:dyDescent="0.25">
      <c r="A443" s="4"/>
    </row>
    <row r="444" spans="1:1" x14ac:dyDescent="0.25">
      <c r="A444" s="4"/>
    </row>
    <row r="445" spans="1:1" x14ac:dyDescent="0.25">
      <c r="A445" s="4"/>
    </row>
    <row r="446" spans="1:1" x14ac:dyDescent="0.25">
      <c r="A446" s="4"/>
    </row>
    <row r="447" spans="1:1" x14ac:dyDescent="0.25">
      <c r="A447" s="4"/>
    </row>
    <row r="448" spans="1:1" x14ac:dyDescent="0.25">
      <c r="A448" s="4"/>
    </row>
    <row r="449" spans="1:1" x14ac:dyDescent="0.25">
      <c r="A449" s="4"/>
    </row>
    <row r="450" spans="1:1" x14ac:dyDescent="0.25">
      <c r="A450" s="4"/>
    </row>
    <row r="451" spans="1:1" x14ac:dyDescent="0.25">
      <c r="A451" s="4"/>
    </row>
    <row r="452" spans="1:1" x14ac:dyDescent="0.25">
      <c r="A452" s="4"/>
    </row>
    <row r="453" spans="1:1" x14ac:dyDescent="0.25">
      <c r="A453" s="4"/>
    </row>
    <row r="454" spans="1:1" x14ac:dyDescent="0.25">
      <c r="A454" s="4"/>
    </row>
    <row r="455" spans="1:1" x14ac:dyDescent="0.25">
      <c r="A455" s="4"/>
    </row>
    <row r="456" spans="1:1" x14ac:dyDescent="0.25">
      <c r="A456" s="4"/>
    </row>
    <row r="457" spans="1:1" x14ac:dyDescent="0.25">
      <c r="A457" s="4"/>
    </row>
    <row r="458" spans="1:1" x14ac:dyDescent="0.25">
      <c r="A458" s="4"/>
    </row>
    <row r="459" spans="1:1" x14ac:dyDescent="0.25">
      <c r="A459" s="4"/>
    </row>
    <row r="460" spans="1:1" x14ac:dyDescent="0.25">
      <c r="A460" s="4"/>
    </row>
    <row r="461" spans="1:1" x14ac:dyDescent="0.25">
      <c r="A461" s="4"/>
    </row>
    <row r="462" spans="1:1" x14ac:dyDescent="0.25">
      <c r="A462" s="4"/>
    </row>
    <row r="463" spans="1:1" x14ac:dyDescent="0.25">
      <c r="A463" s="4"/>
    </row>
    <row r="464" spans="1:1" x14ac:dyDescent="0.25">
      <c r="A464" s="4"/>
    </row>
    <row r="465" spans="1:1" x14ac:dyDescent="0.25">
      <c r="A465" s="4"/>
    </row>
    <row r="466" spans="1:1" x14ac:dyDescent="0.25">
      <c r="A466" s="4"/>
    </row>
    <row r="467" spans="1:1" x14ac:dyDescent="0.25">
      <c r="A467" s="4"/>
    </row>
    <row r="468" spans="1:1" x14ac:dyDescent="0.25">
      <c r="A468" s="4"/>
    </row>
    <row r="469" spans="1:1" x14ac:dyDescent="0.25">
      <c r="A469" s="4"/>
    </row>
    <row r="470" spans="1:1" x14ac:dyDescent="0.25">
      <c r="A470" s="4"/>
    </row>
    <row r="471" spans="1:1" x14ac:dyDescent="0.25">
      <c r="A471" s="4"/>
    </row>
    <row r="472" spans="1:1" x14ac:dyDescent="0.25">
      <c r="A472" s="4"/>
    </row>
    <row r="473" spans="1:1" x14ac:dyDescent="0.25">
      <c r="A473" s="4"/>
    </row>
    <row r="474" spans="1:1" x14ac:dyDescent="0.25">
      <c r="A474" s="4"/>
    </row>
    <row r="475" spans="1:1" x14ac:dyDescent="0.25">
      <c r="A475" s="4"/>
    </row>
    <row r="476" spans="1:1" x14ac:dyDescent="0.25">
      <c r="A476" s="4"/>
    </row>
    <row r="477" spans="1:1" x14ac:dyDescent="0.25">
      <c r="A477" s="4"/>
    </row>
    <row r="478" spans="1:1" x14ac:dyDescent="0.25">
      <c r="A478" s="4"/>
    </row>
    <row r="479" spans="1:1" x14ac:dyDescent="0.25">
      <c r="A479" s="4"/>
    </row>
    <row r="480" spans="1:1" x14ac:dyDescent="0.25">
      <c r="A480" s="4"/>
    </row>
    <row r="481" spans="1:1" x14ac:dyDescent="0.25">
      <c r="A481" s="4"/>
    </row>
    <row r="482" spans="1:1" x14ac:dyDescent="0.25">
      <c r="A482" s="4"/>
    </row>
    <row r="483" spans="1:1" x14ac:dyDescent="0.25">
      <c r="A483" s="4"/>
    </row>
    <row r="484" spans="1:1" x14ac:dyDescent="0.25">
      <c r="A484" s="4"/>
    </row>
    <row r="485" spans="1:1" x14ac:dyDescent="0.25">
      <c r="A485" s="4"/>
    </row>
    <row r="486" spans="1:1" x14ac:dyDescent="0.25">
      <c r="A486" s="4"/>
    </row>
    <row r="487" spans="1:1" x14ac:dyDescent="0.25">
      <c r="A487" s="4"/>
    </row>
    <row r="488" spans="1:1" x14ac:dyDescent="0.25">
      <c r="A488" s="4"/>
    </row>
    <row r="489" spans="1:1" x14ac:dyDescent="0.25">
      <c r="A489" s="4"/>
    </row>
    <row r="490" spans="1:1" x14ac:dyDescent="0.25">
      <c r="A490" s="4"/>
    </row>
    <row r="491" spans="1:1" x14ac:dyDescent="0.25">
      <c r="A491" s="4"/>
    </row>
    <row r="492" spans="1:1" x14ac:dyDescent="0.25">
      <c r="A492" s="4"/>
    </row>
    <row r="493" spans="1:1" x14ac:dyDescent="0.25">
      <c r="A493" s="4"/>
    </row>
    <row r="494" spans="1:1" x14ac:dyDescent="0.25">
      <c r="A494" s="4"/>
    </row>
    <row r="495" spans="1:1" x14ac:dyDescent="0.25">
      <c r="A495" s="4"/>
    </row>
    <row r="496" spans="1:1" x14ac:dyDescent="0.25">
      <c r="A496" s="4"/>
    </row>
    <row r="497" spans="1:1" x14ac:dyDescent="0.25">
      <c r="A497" s="4"/>
    </row>
    <row r="498" spans="1:1" x14ac:dyDescent="0.25">
      <c r="A498" s="4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4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  <row r="507" spans="1:1" x14ac:dyDescent="0.25">
      <c r="A507" s="4"/>
    </row>
    <row r="508" spans="1:1" x14ac:dyDescent="0.25">
      <c r="A508" s="4"/>
    </row>
    <row r="509" spans="1:1" x14ac:dyDescent="0.25">
      <c r="A509" s="4"/>
    </row>
    <row r="510" spans="1:1" x14ac:dyDescent="0.25">
      <c r="A510" s="4"/>
    </row>
    <row r="511" spans="1:1" x14ac:dyDescent="0.25">
      <c r="A511" s="4"/>
    </row>
    <row r="512" spans="1:1" x14ac:dyDescent="0.25">
      <c r="A512" s="4"/>
    </row>
    <row r="513" spans="1:1" x14ac:dyDescent="0.25">
      <c r="A513" s="4"/>
    </row>
    <row r="514" spans="1:1" x14ac:dyDescent="0.25">
      <c r="A514" s="4"/>
    </row>
    <row r="515" spans="1:1" x14ac:dyDescent="0.25">
      <c r="A515" s="4"/>
    </row>
    <row r="516" spans="1:1" x14ac:dyDescent="0.25">
      <c r="A516" s="4"/>
    </row>
    <row r="517" spans="1:1" x14ac:dyDescent="0.25">
      <c r="A517" s="4"/>
    </row>
    <row r="518" spans="1:1" x14ac:dyDescent="0.25">
      <c r="A518" s="4"/>
    </row>
    <row r="519" spans="1:1" x14ac:dyDescent="0.25">
      <c r="A519" s="4"/>
    </row>
    <row r="520" spans="1:1" x14ac:dyDescent="0.25">
      <c r="A520" s="4"/>
    </row>
    <row r="521" spans="1:1" x14ac:dyDescent="0.25">
      <c r="A521" s="4"/>
    </row>
    <row r="522" spans="1:1" x14ac:dyDescent="0.25">
      <c r="A522" s="4"/>
    </row>
    <row r="523" spans="1:1" x14ac:dyDescent="0.25">
      <c r="A523" s="4"/>
    </row>
    <row r="524" spans="1:1" x14ac:dyDescent="0.25">
      <c r="A524" s="4"/>
    </row>
    <row r="525" spans="1:1" x14ac:dyDescent="0.25">
      <c r="A525" s="4"/>
    </row>
    <row r="526" spans="1:1" x14ac:dyDescent="0.25">
      <c r="A526" s="4"/>
    </row>
    <row r="527" spans="1:1" x14ac:dyDescent="0.25">
      <c r="A527" s="4"/>
    </row>
    <row r="528" spans="1:1" x14ac:dyDescent="0.25">
      <c r="A528" s="4"/>
    </row>
    <row r="529" spans="1:1" x14ac:dyDescent="0.25">
      <c r="A529" s="4"/>
    </row>
    <row r="530" spans="1:1" x14ac:dyDescent="0.25">
      <c r="A530" s="4"/>
    </row>
    <row r="531" spans="1:1" x14ac:dyDescent="0.25">
      <c r="A531" s="4"/>
    </row>
    <row r="532" spans="1:1" x14ac:dyDescent="0.25">
      <c r="A532" s="4"/>
    </row>
    <row r="533" spans="1:1" x14ac:dyDescent="0.25">
      <c r="A533" s="4"/>
    </row>
    <row r="534" spans="1:1" x14ac:dyDescent="0.25">
      <c r="A534" s="4"/>
    </row>
    <row r="535" spans="1:1" x14ac:dyDescent="0.25">
      <c r="A535" s="4"/>
    </row>
    <row r="536" spans="1:1" x14ac:dyDescent="0.25">
      <c r="A536" s="4"/>
    </row>
    <row r="537" spans="1:1" x14ac:dyDescent="0.25">
      <c r="A537" s="4"/>
    </row>
    <row r="538" spans="1:1" x14ac:dyDescent="0.25">
      <c r="A538" s="4"/>
    </row>
    <row r="539" spans="1:1" x14ac:dyDescent="0.25">
      <c r="A539" s="4"/>
    </row>
    <row r="540" spans="1:1" x14ac:dyDescent="0.25">
      <c r="A540" s="4"/>
    </row>
    <row r="541" spans="1:1" x14ac:dyDescent="0.25">
      <c r="A541" s="4"/>
    </row>
    <row r="542" spans="1:1" x14ac:dyDescent="0.25">
      <c r="A542" s="4"/>
    </row>
    <row r="543" spans="1:1" x14ac:dyDescent="0.25">
      <c r="A543" s="4"/>
    </row>
    <row r="544" spans="1:1" x14ac:dyDescent="0.25">
      <c r="A544" s="4"/>
    </row>
    <row r="545" spans="1:1" x14ac:dyDescent="0.25">
      <c r="A545" s="4"/>
    </row>
    <row r="546" spans="1:1" x14ac:dyDescent="0.25">
      <c r="A546" s="4"/>
    </row>
    <row r="547" spans="1:1" x14ac:dyDescent="0.25">
      <c r="A547" s="4"/>
    </row>
    <row r="548" spans="1:1" x14ac:dyDescent="0.25">
      <c r="A548" s="4"/>
    </row>
    <row r="549" spans="1:1" x14ac:dyDescent="0.25">
      <c r="A549" s="4"/>
    </row>
    <row r="550" spans="1:1" x14ac:dyDescent="0.25">
      <c r="A550" s="4"/>
    </row>
    <row r="551" spans="1:1" x14ac:dyDescent="0.25">
      <c r="A551" s="4"/>
    </row>
    <row r="552" spans="1:1" x14ac:dyDescent="0.25">
      <c r="A552" s="4"/>
    </row>
    <row r="553" spans="1:1" x14ac:dyDescent="0.25">
      <c r="A553" s="4"/>
    </row>
    <row r="554" spans="1:1" x14ac:dyDescent="0.25">
      <c r="A554" s="4"/>
    </row>
    <row r="555" spans="1:1" x14ac:dyDescent="0.25">
      <c r="A555" s="4"/>
    </row>
    <row r="556" spans="1:1" x14ac:dyDescent="0.25">
      <c r="A556" s="4"/>
    </row>
    <row r="557" spans="1:1" x14ac:dyDescent="0.25">
      <c r="A557" s="4"/>
    </row>
    <row r="558" spans="1:1" x14ac:dyDescent="0.25">
      <c r="A558" s="4"/>
    </row>
    <row r="559" spans="1:1" x14ac:dyDescent="0.25">
      <c r="A559" s="4"/>
    </row>
    <row r="560" spans="1:1" x14ac:dyDescent="0.25">
      <c r="A560" s="4"/>
    </row>
    <row r="561" spans="1:1" x14ac:dyDescent="0.25">
      <c r="A561" s="4"/>
    </row>
    <row r="562" spans="1:1" x14ac:dyDescent="0.25">
      <c r="A562" s="4"/>
    </row>
    <row r="563" spans="1:1" x14ac:dyDescent="0.25">
      <c r="A563" s="4"/>
    </row>
    <row r="564" spans="1:1" x14ac:dyDescent="0.25">
      <c r="A564" s="4"/>
    </row>
    <row r="565" spans="1:1" x14ac:dyDescent="0.25">
      <c r="A565" s="4"/>
    </row>
    <row r="566" spans="1:1" x14ac:dyDescent="0.25">
      <c r="A566" s="4"/>
    </row>
    <row r="567" spans="1:1" x14ac:dyDescent="0.25">
      <c r="A567" s="4"/>
    </row>
    <row r="568" spans="1:1" x14ac:dyDescent="0.25">
      <c r="A568" s="4"/>
    </row>
    <row r="569" spans="1:1" x14ac:dyDescent="0.25">
      <c r="A569" s="4"/>
    </row>
    <row r="570" spans="1:1" x14ac:dyDescent="0.25">
      <c r="A570" s="4"/>
    </row>
    <row r="571" spans="1:1" x14ac:dyDescent="0.25">
      <c r="A571" s="4"/>
    </row>
    <row r="572" spans="1:1" x14ac:dyDescent="0.25">
      <c r="A572" s="4"/>
    </row>
    <row r="573" spans="1:1" x14ac:dyDescent="0.25">
      <c r="A573" s="4"/>
    </row>
    <row r="574" spans="1:1" x14ac:dyDescent="0.25">
      <c r="A574" s="4"/>
    </row>
    <row r="575" spans="1:1" x14ac:dyDescent="0.25">
      <c r="A575" s="4"/>
    </row>
    <row r="576" spans="1:1" x14ac:dyDescent="0.25">
      <c r="A576" s="4"/>
    </row>
    <row r="577" spans="1:1" x14ac:dyDescent="0.25">
      <c r="A577" s="4"/>
    </row>
    <row r="578" spans="1:1" x14ac:dyDescent="0.25">
      <c r="A578" s="4"/>
    </row>
    <row r="579" spans="1:1" x14ac:dyDescent="0.25">
      <c r="A579" s="4"/>
    </row>
    <row r="580" spans="1:1" x14ac:dyDescent="0.25">
      <c r="A580" s="4"/>
    </row>
    <row r="581" spans="1:1" x14ac:dyDescent="0.25">
      <c r="A581" s="4"/>
    </row>
    <row r="582" spans="1:1" x14ac:dyDescent="0.25">
      <c r="A582" s="4"/>
    </row>
    <row r="583" spans="1:1" x14ac:dyDescent="0.25">
      <c r="A583" s="4"/>
    </row>
    <row r="584" spans="1:1" x14ac:dyDescent="0.25">
      <c r="A584" s="4"/>
    </row>
    <row r="585" spans="1:1" x14ac:dyDescent="0.25">
      <c r="A585" s="4"/>
    </row>
    <row r="586" spans="1:1" x14ac:dyDescent="0.25">
      <c r="A586" s="4"/>
    </row>
    <row r="587" spans="1:1" x14ac:dyDescent="0.25">
      <c r="A587" s="4"/>
    </row>
    <row r="588" spans="1:1" x14ac:dyDescent="0.25">
      <c r="A588" s="4"/>
    </row>
    <row r="589" spans="1:1" x14ac:dyDescent="0.25">
      <c r="A589" s="4"/>
    </row>
    <row r="590" spans="1:1" x14ac:dyDescent="0.25">
      <c r="A590" s="4"/>
    </row>
    <row r="591" spans="1:1" x14ac:dyDescent="0.25">
      <c r="A591" s="4"/>
    </row>
    <row r="592" spans="1:1" x14ac:dyDescent="0.25">
      <c r="A592" s="4"/>
    </row>
    <row r="593" spans="1:1" x14ac:dyDescent="0.25">
      <c r="A593" s="4"/>
    </row>
    <row r="594" spans="1:1" x14ac:dyDescent="0.25">
      <c r="A594" s="4"/>
    </row>
    <row r="595" spans="1:1" x14ac:dyDescent="0.25">
      <c r="A595" s="4"/>
    </row>
    <row r="596" spans="1:1" x14ac:dyDescent="0.25">
      <c r="A596" s="4"/>
    </row>
    <row r="597" spans="1:1" x14ac:dyDescent="0.25">
      <c r="A597" s="4"/>
    </row>
    <row r="598" spans="1:1" x14ac:dyDescent="0.25">
      <c r="A598" s="4"/>
    </row>
    <row r="599" spans="1:1" x14ac:dyDescent="0.25">
      <c r="A599" s="4"/>
    </row>
    <row r="600" spans="1:1" x14ac:dyDescent="0.25">
      <c r="A600" s="4"/>
    </row>
    <row r="601" spans="1:1" x14ac:dyDescent="0.25">
      <c r="A601" s="4"/>
    </row>
    <row r="602" spans="1:1" x14ac:dyDescent="0.25">
      <c r="A602" s="4"/>
    </row>
    <row r="603" spans="1:1" x14ac:dyDescent="0.25">
      <c r="A603" s="4"/>
    </row>
    <row r="604" spans="1:1" x14ac:dyDescent="0.25">
      <c r="A604" s="4"/>
    </row>
    <row r="605" spans="1:1" x14ac:dyDescent="0.25">
      <c r="A605" s="4"/>
    </row>
    <row r="606" spans="1:1" x14ac:dyDescent="0.25">
      <c r="A606" s="4"/>
    </row>
    <row r="607" spans="1:1" x14ac:dyDescent="0.25">
      <c r="A607" s="4"/>
    </row>
    <row r="608" spans="1:1" x14ac:dyDescent="0.25">
      <c r="A608" s="4"/>
    </row>
    <row r="609" spans="1:1" x14ac:dyDescent="0.25">
      <c r="A609" s="4"/>
    </row>
    <row r="610" spans="1:1" x14ac:dyDescent="0.25">
      <c r="A610" s="4"/>
    </row>
    <row r="611" spans="1:1" x14ac:dyDescent="0.25">
      <c r="A611" s="4"/>
    </row>
    <row r="612" spans="1:1" x14ac:dyDescent="0.25">
      <c r="A612" s="4"/>
    </row>
    <row r="613" spans="1:1" x14ac:dyDescent="0.25">
      <c r="A613" s="4"/>
    </row>
    <row r="614" spans="1:1" x14ac:dyDescent="0.25">
      <c r="A614" s="4"/>
    </row>
    <row r="615" spans="1:1" x14ac:dyDescent="0.25">
      <c r="A615" s="4"/>
    </row>
    <row r="616" spans="1:1" x14ac:dyDescent="0.25">
      <c r="A616" s="4"/>
    </row>
    <row r="617" spans="1:1" x14ac:dyDescent="0.25">
      <c r="A617" s="4"/>
    </row>
    <row r="618" spans="1:1" x14ac:dyDescent="0.25">
      <c r="A618" s="4"/>
    </row>
    <row r="619" spans="1:1" x14ac:dyDescent="0.25">
      <c r="A619" s="4"/>
    </row>
    <row r="620" spans="1:1" x14ac:dyDescent="0.25">
      <c r="A620" s="4"/>
    </row>
    <row r="621" spans="1:1" x14ac:dyDescent="0.25">
      <c r="A621" s="4"/>
    </row>
    <row r="622" spans="1:1" x14ac:dyDescent="0.25">
      <c r="A622" s="4"/>
    </row>
    <row r="623" spans="1:1" x14ac:dyDescent="0.25">
      <c r="A623" s="4"/>
    </row>
    <row r="624" spans="1:1" x14ac:dyDescent="0.25">
      <c r="A624" s="4"/>
    </row>
    <row r="625" spans="1:1" x14ac:dyDescent="0.25">
      <c r="A625" s="4"/>
    </row>
    <row r="626" spans="1:1" x14ac:dyDescent="0.25">
      <c r="A626" s="4"/>
    </row>
    <row r="627" spans="1:1" x14ac:dyDescent="0.25">
      <c r="A627" s="4"/>
    </row>
    <row r="628" spans="1:1" x14ac:dyDescent="0.25">
      <c r="A628" s="4"/>
    </row>
    <row r="629" spans="1:1" x14ac:dyDescent="0.25">
      <c r="A629" s="4"/>
    </row>
    <row r="630" spans="1:1" x14ac:dyDescent="0.25">
      <c r="A630" s="4"/>
    </row>
    <row r="631" spans="1:1" x14ac:dyDescent="0.25">
      <c r="A631" s="4"/>
    </row>
    <row r="632" spans="1:1" x14ac:dyDescent="0.25">
      <c r="A632" s="4"/>
    </row>
    <row r="633" spans="1:1" x14ac:dyDescent="0.25">
      <c r="A633" s="4"/>
    </row>
    <row r="634" spans="1:1" x14ac:dyDescent="0.25">
      <c r="A634" s="4"/>
    </row>
    <row r="635" spans="1:1" x14ac:dyDescent="0.25">
      <c r="A635" s="4"/>
    </row>
    <row r="636" spans="1:1" x14ac:dyDescent="0.25">
      <c r="A636" s="4"/>
    </row>
    <row r="637" spans="1:1" x14ac:dyDescent="0.25">
      <c r="A637" s="4"/>
    </row>
    <row r="638" spans="1:1" x14ac:dyDescent="0.25">
      <c r="A638" s="4"/>
    </row>
    <row r="639" spans="1:1" x14ac:dyDescent="0.25">
      <c r="A639" s="4"/>
    </row>
    <row r="640" spans="1:1" x14ac:dyDescent="0.25">
      <c r="A640" s="4"/>
    </row>
    <row r="641" spans="1:1" x14ac:dyDescent="0.25">
      <c r="A641" s="4"/>
    </row>
    <row r="642" spans="1:1" x14ac:dyDescent="0.25">
      <c r="A642" s="4"/>
    </row>
    <row r="643" spans="1:1" x14ac:dyDescent="0.25">
      <c r="A643" s="4"/>
    </row>
    <row r="644" spans="1:1" x14ac:dyDescent="0.25">
      <c r="A644" s="4"/>
    </row>
    <row r="645" spans="1:1" x14ac:dyDescent="0.25">
      <c r="A645" s="4"/>
    </row>
    <row r="646" spans="1:1" x14ac:dyDescent="0.25">
      <c r="A646" s="4"/>
    </row>
    <row r="647" spans="1:1" x14ac:dyDescent="0.25">
      <c r="A647" s="4"/>
    </row>
    <row r="648" spans="1:1" x14ac:dyDescent="0.25">
      <c r="A648" s="4"/>
    </row>
    <row r="649" spans="1:1" x14ac:dyDescent="0.25">
      <c r="A649" s="4"/>
    </row>
    <row r="650" spans="1:1" x14ac:dyDescent="0.25">
      <c r="A650" s="4"/>
    </row>
    <row r="651" spans="1:1" x14ac:dyDescent="0.25">
      <c r="A651" s="4"/>
    </row>
    <row r="652" spans="1:1" x14ac:dyDescent="0.25">
      <c r="A652" s="4"/>
    </row>
    <row r="653" spans="1:1" x14ac:dyDescent="0.25">
      <c r="A653" s="4"/>
    </row>
    <row r="654" spans="1:1" x14ac:dyDescent="0.25">
      <c r="A654" s="4"/>
    </row>
    <row r="655" spans="1:1" x14ac:dyDescent="0.25">
      <c r="A655" s="4"/>
    </row>
    <row r="656" spans="1:1" x14ac:dyDescent="0.25">
      <c r="A656" s="4"/>
    </row>
    <row r="657" spans="1:1" x14ac:dyDescent="0.25">
      <c r="A657" s="4"/>
    </row>
    <row r="658" spans="1:1" x14ac:dyDescent="0.25">
      <c r="A658" s="4"/>
    </row>
    <row r="659" spans="1:1" x14ac:dyDescent="0.25">
      <c r="A659" s="4"/>
    </row>
    <row r="660" spans="1:1" x14ac:dyDescent="0.25">
      <c r="A660" s="4"/>
    </row>
    <row r="661" spans="1:1" x14ac:dyDescent="0.25">
      <c r="A661" s="4"/>
    </row>
    <row r="662" spans="1:1" x14ac:dyDescent="0.25">
      <c r="A662" s="4"/>
    </row>
    <row r="663" spans="1:1" x14ac:dyDescent="0.25">
      <c r="A663" s="4"/>
    </row>
    <row r="664" spans="1:1" x14ac:dyDescent="0.25">
      <c r="A664" s="4"/>
    </row>
    <row r="665" spans="1:1" x14ac:dyDescent="0.25">
      <c r="A665" s="4"/>
    </row>
    <row r="666" spans="1:1" x14ac:dyDescent="0.25">
      <c r="A666" s="4"/>
    </row>
    <row r="667" spans="1:1" x14ac:dyDescent="0.25">
      <c r="A667" s="4"/>
    </row>
    <row r="668" spans="1:1" x14ac:dyDescent="0.25">
      <c r="A668" s="4"/>
    </row>
    <row r="669" spans="1:1" x14ac:dyDescent="0.25">
      <c r="A669" s="4"/>
    </row>
    <row r="670" spans="1:1" x14ac:dyDescent="0.25">
      <c r="A670" s="4"/>
    </row>
    <row r="671" spans="1:1" x14ac:dyDescent="0.25">
      <c r="A671" s="4"/>
    </row>
    <row r="672" spans="1:1" x14ac:dyDescent="0.25">
      <c r="A672" s="4"/>
    </row>
    <row r="673" spans="1:1" x14ac:dyDescent="0.25">
      <c r="A673" s="4"/>
    </row>
    <row r="674" spans="1:1" x14ac:dyDescent="0.25">
      <c r="A674" s="4"/>
    </row>
    <row r="675" spans="1:1" x14ac:dyDescent="0.25">
      <c r="A675" s="4"/>
    </row>
    <row r="676" spans="1:1" x14ac:dyDescent="0.25">
      <c r="A676" s="4"/>
    </row>
    <row r="677" spans="1:1" x14ac:dyDescent="0.25">
      <c r="A677" s="4"/>
    </row>
    <row r="678" spans="1:1" x14ac:dyDescent="0.25">
      <c r="A678" s="4"/>
    </row>
    <row r="679" spans="1:1" x14ac:dyDescent="0.25">
      <c r="A679" s="4"/>
    </row>
    <row r="680" spans="1:1" x14ac:dyDescent="0.25">
      <c r="A680" s="4"/>
    </row>
    <row r="681" spans="1:1" x14ac:dyDescent="0.25">
      <c r="A681" s="4"/>
    </row>
    <row r="682" spans="1:1" x14ac:dyDescent="0.25">
      <c r="A682" s="4"/>
    </row>
    <row r="683" spans="1:1" x14ac:dyDescent="0.25">
      <c r="A683" s="4"/>
    </row>
    <row r="684" spans="1:1" x14ac:dyDescent="0.25">
      <c r="A684" s="4"/>
    </row>
    <row r="685" spans="1:1" x14ac:dyDescent="0.25">
      <c r="A685" s="4"/>
    </row>
    <row r="686" spans="1:1" x14ac:dyDescent="0.25">
      <c r="A686" s="4"/>
    </row>
    <row r="687" spans="1:1" x14ac:dyDescent="0.25">
      <c r="A687" s="4"/>
    </row>
    <row r="688" spans="1:1" x14ac:dyDescent="0.25">
      <c r="A688" s="4"/>
    </row>
    <row r="689" spans="1:1" x14ac:dyDescent="0.25">
      <c r="A689" s="4"/>
    </row>
    <row r="690" spans="1:1" x14ac:dyDescent="0.25">
      <c r="A690" s="4"/>
    </row>
    <row r="691" spans="1:1" x14ac:dyDescent="0.25">
      <c r="A691" s="4"/>
    </row>
    <row r="692" spans="1:1" x14ac:dyDescent="0.25">
      <c r="A692" s="4"/>
    </row>
    <row r="693" spans="1:1" x14ac:dyDescent="0.25">
      <c r="A693" s="4"/>
    </row>
    <row r="694" spans="1:1" x14ac:dyDescent="0.25">
      <c r="A694" s="4"/>
    </row>
    <row r="695" spans="1:1" x14ac:dyDescent="0.25">
      <c r="A695" s="4"/>
    </row>
    <row r="696" spans="1:1" x14ac:dyDescent="0.25">
      <c r="A696" s="4"/>
    </row>
    <row r="697" spans="1:1" x14ac:dyDescent="0.25">
      <c r="A697" s="4"/>
    </row>
    <row r="698" spans="1:1" x14ac:dyDescent="0.25">
      <c r="A698" s="4"/>
    </row>
    <row r="699" spans="1:1" x14ac:dyDescent="0.25">
      <c r="A699" s="4"/>
    </row>
    <row r="700" spans="1:1" x14ac:dyDescent="0.25">
      <c r="A700" s="4"/>
    </row>
    <row r="701" spans="1:1" x14ac:dyDescent="0.25">
      <c r="A701" s="4"/>
    </row>
    <row r="702" spans="1:1" x14ac:dyDescent="0.25">
      <c r="A702" s="4"/>
    </row>
    <row r="703" spans="1:1" x14ac:dyDescent="0.25">
      <c r="A703" s="4"/>
    </row>
    <row r="704" spans="1:1" x14ac:dyDescent="0.25">
      <c r="A704" s="4"/>
    </row>
    <row r="705" spans="1:1" x14ac:dyDescent="0.25">
      <c r="A705" s="4"/>
    </row>
    <row r="706" spans="1:1" x14ac:dyDescent="0.25">
      <c r="A706" s="4"/>
    </row>
    <row r="707" spans="1:1" x14ac:dyDescent="0.25">
      <c r="A707" s="4"/>
    </row>
    <row r="708" spans="1:1" x14ac:dyDescent="0.25">
      <c r="A708" s="4"/>
    </row>
    <row r="709" spans="1:1" x14ac:dyDescent="0.25">
      <c r="A709" s="4"/>
    </row>
    <row r="710" spans="1:1" x14ac:dyDescent="0.25">
      <c r="A710" s="4"/>
    </row>
    <row r="711" spans="1:1" x14ac:dyDescent="0.25">
      <c r="A711" s="4"/>
    </row>
    <row r="712" spans="1:1" x14ac:dyDescent="0.25">
      <c r="A712" s="4"/>
    </row>
    <row r="713" spans="1:1" x14ac:dyDescent="0.25">
      <c r="A713" s="4"/>
    </row>
    <row r="714" spans="1:1" x14ac:dyDescent="0.25">
      <c r="A714" s="4"/>
    </row>
    <row r="715" spans="1:1" x14ac:dyDescent="0.25">
      <c r="A715" s="4"/>
    </row>
    <row r="716" spans="1:1" x14ac:dyDescent="0.25">
      <c r="A716" s="4"/>
    </row>
    <row r="717" spans="1:1" x14ac:dyDescent="0.25">
      <c r="A717" s="4"/>
    </row>
    <row r="718" spans="1:1" x14ac:dyDescent="0.25">
      <c r="A718" s="4"/>
    </row>
    <row r="719" spans="1:1" x14ac:dyDescent="0.25">
      <c r="A719" s="4"/>
    </row>
    <row r="720" spans="1:1" x14ac:dyDescent="0.25">
      <c r="A720" s="4"/>
    </row>
    <row r="721" spans="1:1" x14ac:dyDescent="0.25">
      <c r="A721" s="4"/>
    </row>
    <row r="722" spans="1:1" x14ac:dyDescent="0.25">
      <c r="A722" s="4"/>
    </row>
    <row r="723" spans="1:1" x14ac:dyDescent="0.25">
      <c r="A723" s="4"/>
    </row>
    <row r="724" spans="1:1" x14ac:dyDescent="0.25">
      <c r="A724" s="4"/>
    </row>
    <row r="725" spans="1:1" x14ac:dyDescent="0.25">
      <c r="A725" s="4"/>
    </row>
    <row r="726" spans="1:1" x14ac:dyDescent="0.25">
      <c r="A726" s="4"/>
    </row>
    <row r="727" spans="1:1" x14ac:dyDescent="0.25">
      <c r="A727" s="4"/>
    </row>
    <row r="728" spans="1:1" x14ac:dyDescent="0.25">
      <c r="A728" s="4"/>
    </row>
    <row r="729" spans="1:1" x14ac:dyDescent="0.25">
      <c r="A729" s="4"/>
    </row>
    <row r="730" spans="1:1" x14ac:dyDescent="0.25">
      <c r="A730" s="4"/>
    </row>
    <row r="731" spans="1:1" x14ac:dyDescent="0.25">
      <c r="A731" s="4"/>
    </row>
    <row r="732" spans="1:1" x14ac:dyDescent="0.25">
      <c r="A732" s="4"/>
    </row>
    <row r="733" spans="1:1" x14ac:dyDescent="0.25">
      <c r="A733" s="4"/>
    </row>
    <row r="734" spans="1:1" x14ac:dyDescent="0.25">
      <c r="A734" s="4"/>
    </row>
    <row r="735" spans="1:1" x14ac:dyDescent="0.25">
      <c r="A735" s="4"/>
    </row>
    <row r="736" spans="1:1" x14ac:dyDescent="0.25">
      <c r="A736" s="4"/>
    </row>
    <row r="737" spans="1:1" x14ac:dyDescent="0.25">
      <c r="A737" s="4"/>
    </row>
    <row r="738" spans="1:1" x14ac:dyDescent="0.25">
      <c r="A738" s="4"/>
    </row>
    <row r="739" spans="1:1" x14ac:dyDescent="0.25">
      <c r="A739" s="4"/>
    </row>
    <row r="740" spans="1:1" x14ac:dyDescent="0.25">
      <c r="A740" s="4"/>
    </row>
    <row r="741" spans="1:1" x14ac:dyDescent="0.25">
      <c r="A741" s="4"/>
    </row>
    <row r="742" spans="1:1" x14ac:dyDescent="0.25">
      <c r="A742" s="4"/>
    </row>
    <row r="743" spans="1:1" x14ac:dyDescent="0.25">
      <c r="A743" s="4"/>
    </row>
    <row r="744" spans="1:1" x14ac:dyDescent="0.25">
      <c r="A744" s="4"/>
    </row>
    <row r="745" spans="1:1" x14ac:dyDescent="0.25">
      <c r="A745" s="4"/>
    </row>
    <row r="746" spans="1:1" x14ac:dyDescent="0.25">
      <c r="A746" s="4"/>
    </row>
    <row r="747" spans="1:1" x14ac:dyDescent="0.25">
      <c r="A747" s="4"/>
    </row>
    <row r="748" spans="1:1" x14ac:dyDescent="0.25">
      <c r="A748" s="4"/>
    </row>
    <row r="749" spans="1:1" x14ac:dyDescent="0.25">
      <c r="A749" s="4"/>
    </row>
    <row r="750" spans="1:1" x14ac:dyDescent="0.25">
      <c r="A750" s="4"/>
    </row>
    <row r="751" spans="1:1" x14ac:dyDescent="0.25">
      <c r="A751" s="4"/>
    </row>
    <row r="752" spans="1:1" x14ac:dyDescent="0.25">
      <c r="A752" s="4"/>
    </row>
    <row r="753" spans="1:1" x14ac:dyDescent="0.25">
      <c r="A753" s="4"/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BF55F-5146-4FFF-A4E6-EAC8876231F1}">
  <sheetPr codeName="Hoja2"/>
  <dimension ref="A1:Z19"/>
  <sheetViews>
    <sheetView zoomScale="105" workbookViewId="0">
      <selection activeCell="C4" sqref="C4"/>
    </sheetView>
  </sheetViews>
  <sheetFormatPr baseColWidth="10" defaultRowHeight="15" x14ac:dyDescent="0.25"/>
  <cols>
    <col min="1" max="1" width="23" bestFit="1" customWidth="1"/>
    <col min="3" max="3" width="13.140625" customWidth="1"/>
    <col min="5" max="5" width="15.42578125" customWidth="1"/>
    <col min="6" max="6" width="12" customWidth="1"/>
  </cols>
  <sheetData>
    <row r="1" spans="1:26" x14ac:dyDescent="0.25">
      <c r="A1" s="12" t="s">
        <v>0</v>
      </c>
      <c r="B1" s="13"/>
      <c r="C1" s="13"/>
      <c r="D1" s="13"/>
      <c r="E1" s="13"/>
      <c r="F1" s="13"/>
      <c r="Z1">
        <v>8</v>
      </c>
    </row>
    <row r="2" spans="1:26" x14ac:dyDescent="0.25">
      <c r="A2" s="13"/>
      <c r="B2" s="13"/>
      <c r="C2" s="13"/>
      <c r="D2" s="13"/>
      <c r="E2" s="13"/>
      <c r="F2" s="13"/>
    </row>
    <row r="3" spans="1:26" x14ac:dyDescent="0.25">
      <c r="A3" s="13"/>
      <c r="B3" s="13"/>
      <c r="C3" s="13"/>
      <c r="D3" s="13"/>
      <c r="E3" s="13"/>
      <c r="F3" s="13"/>
    </row>
    <row r="4" spans="1:26" x14ac:dyDescent="0.25">
      <c r="A4" s="2" t="s">
        <v>8</v>
      </c>
      <c r="B4" s="2" t="s">
        <v>9</v>
      </c>
      <c r="C4" s="2" t="s">
        <v>10</v>
      </c>
      <c r="D4" s="2" t="s">
        <v>11</v>
      </c>
      <c r="E4" s="2" t="s">
        <v>12</v>
      </c>
      <c r="F4" s="1" t="s">
        <v>16</v>
      </c>
    </row>
    <row r="5" spans="1:26" x14ac:dyDescent="0.25">
      <c r="A5" t="s">
        <v>1</v>
      </c>
      <c r="B5">
        <v>50</v>
      </c>
      <c r="D5">
        <f>Inventario[[#This Row],[Cantidad]]+Inventario[[#This Row],[Consumido]]</f>
        <v>50</v>
      </c>
      <c r="E5">
        <v>50</v>
      </c>
    </row>
    <row r="6" spans="1:26" x14ac:dyDescent="0.25">
      <c r="A6" t="s">
        <v>2</v>
      </c>
      <c r="B6">
        <v>50</v>
      </c>
      <c r="D6">
        <f>Inventario[[#This Row],[Cantidad]]+Inventario[[#This Row],[Consumido]]</f>
        <v>50</v>
      </c>
      <c r="E6">
        <v>50</v>
      </c>
    </row>
    <row r="7" spans="1:26" x14ac:dyDescent="0.25">
      <c r="A7" t="s">
        <v>3</v>
      </c>
      <c r="B7">
        <v>50</v>
      </c>
      <c r="D7">
        <f>Inventario[[#This Row],[Cantidad]]+Inventario[[#This Row],[Consumido]]</f>
        <v>50</v>
      </c>
      <c r="E7">
        <v>50</v>
      </c>
    </row>
    <row r="8" spans="1:26" x14ac:dyDescent="0.25">
      <c r="A8" t="s">
        <v>4</v>
      </c>
      <c r="B8">
        <v>50</v>
      </c>
      <c r="D8">
        <f>Inventario[[#This Row],[Cantidad]]+Inventario[[#This Row],[Consumido]]</f>
        <v>50</v>
      </c>
      <c r="E8">
        <v>50</v>
      </c>
    </row>
    <row r="9" spans="1:26" x14ac:dyDescent="0.25">
      <c r="A9" t="s">
        <v>5</v>
      </c>
      <c r="B9">
        <v>50</v>
      </c>
      <c r="D9">
        <f>Inventario[[#This Row],[Cantidad]]+Inventario[[#This Row],[Consumido]]</f>
        <v>50</v>
      </c>
      <c r="E9">
        <v>50</v>
      </c>
    </row>
    <row r="10" spans="1:26" x14ac:dyDescent="0.25">
      <c r="A10" t="s">
        <v>6</v>
      </c>
      <c r="B10">
        <v>50</v>
      </c>
      <c r="D10">
        <f>Inventario[[#This Row],[Cantidad]]+Inventario[[#This Row],[Consumido]]</f>
        <v>50</v>
      </c>
      <c r="E10">
        <v>50</v>
      </c>
    </row>
    <row r="11" spans="1:26" x14ac:dyDescent="0.25">
      <c r="A11" t="s">
        <v>7</v>
      </c>
      <c r="B11">
        <v>50</v>
      </c>
      <c r="D11">
        <f>Inventario[[#This Row],[Cantidad]]+Inventario[[#This Row],[Consumido]]</f>
        <v>50</v>
      </c>
      <c r="E11">
        <v>50</v>
      </c>
    </row>
    <row r="12" spans="1:26" x14ac:dyDescent="0.25">
      <c r="A12" t="s">
        <v>13</v>
      </c>
      <c r="B12">
        <v>25</v>
      </c>
      <c r="D12">
        <f>Inventario[[#This Row],[Cantidad]]+Inventario[[#This Row],[Consumido]]</f>
        <v>25</v>
      </c>
      <c r="E12">
        <v>25</v>
      </c>
    </row>
    <row r="13" spans="1:26" x14ac:dyDescent="0.25">
      <c r="A13" t="s">
        <v>30</v>
      </c>
      <c r="B13">
        <v>25</v>
      </c>
      <c r="D13">
        <f>Inventario[[#This Row],[Cantidad]]+Inventario[[#This Row],[Consumido]]</f>
        <v>25</v>
      </c>
      <c r="E13">
        <v>25</v>
      </c>
    </row>
    <row r="14" spans="1:26" x14ac:dyDescent="0.25">
      <c r="A14" t="s">
        <v>14</v>
      </c>
      <c r="B14">
        <v>25</v>
      </c>
      <c r="D14">
        <f>Inventario[[#This Row],[Cantidad]]+Inventario[[#This Row],[Consumido]]</f>
        <v>25</v>
      </c>
      <c r="E14">
        <v>25</v>
      </c>
    </row>
    <row r="15" spans="1:26" x14ac:dyDescent="0.25">
      <c r="A15" s="4"/>
    </row>
    <row r="19" spans="1:1" x14ac:dyDescent="0.25">
      <c r="A19" s="4"/>
    </row>
  </sheetData>
  <sheetProtection selectLockedCells="1" selectUnlockedCells="1"/>
  <mergeCells count="1">
    <mergeCell ref="A1:F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BD4D2-72C0-4EAD-B8FE-EEC67A67251C}">
  <sheetPr codeName="Hoja4"/>
  <dimension ref="A1:N177"/>
  <sheetViews>
    <sheetView workbookViewId="0">
      <selection activeCell="D12" sqref="D12"/>
    </sheetView>
  </sheetViews>
  <sheetFormatPr baseColWidth="10" defaultRowHeight="15" x14ac:dyDescent="0.25"/>
  <cols>
    <col min="1" max="1" width="15.7109375" bestFit="1" customWidth="1"/>
    <col min="2" max="2" width="16.5703125" customWidth="1"/>
    <col min="3" max="3" width="11" customWidth="1"/>
    <col min="4" max="4" width="14.42578125" customWidth="1"/>
    <col min="5" max="5" width="17.7109375" customWidth="1"/>
    <col min="6" max="6" width="18" bestFit="1" customWidth="1"/>
    <col min="7" max="7" width="12" customWidth="1"/>
  </cols>
  <sheetData>
    <row r="1" spans="1:14" ht="15" customHeight="1" x14ac:dyDescent="0.25">
      <c r="A1" s="15" t="s">
        <v>15</v>
      </c>
      <c r="B1" s="15"/>
      <c r="C1" s="15"/>
      <c r="D1" s="15"/>
      <c r="E1" s="15"/>
      <c r="F1" s="15"/>
      <c r="G1" s="15"/>
    </row>
    <row r="2" spans="1:14" x14ac:dyDescent="0.25">
      <c r="A2" s="15"/>
      <c r="B2" s="15"/>
      <c r="C2" s="15"/>
      <c r="D2" s="15"/>
      <c r="E2" s="15"/>
      <c r="F2" s="15"/>
      <c r="G2" s="15"/>
    </row>
    <row r="3" spans="1:14" x14ac:dyDescent="0.25">
      <c r="A3" s="15"/>
      <c r="B3" s="15"/>
      <c r="C3" s="15"/>
      <c r="D3" s="15"/>
      <c r="E3" s="15"/>
      <c r="F3" s="15"/>
      <c r="G3" s="15"/>
      <c r="I3" s="14" t="s">
        <v>32</v>
      </c>
      <c r="J3" s="14"/>
      <c r="K3" s="7">
        <f>SUM(D:D)</f>
        <v>0</v>
      </c>
      <c r="M3" s="14" t="s">
        <v>43</v>
      </c>
      <c r="N3" s="14"/>
    </row>
    <row r="4" spans="1:14" x14ac:dyDescent="0.25">
      <c r="A4" s="3" t="s">
        <v>18</v>
      </c>
      <c r="B4" s="3" t="s">
        <v>33</v>
      </c>
      <c r="C4" s="3" t="s">
        <v>9</v>
      </c>
      <c r="D4" s="3" t="s">
        <v>19</v>
      </c>
      <c r="E4" s="3" t="s">
        <v>20</v>
      </c>
      <c r="F4" s="3" t="s">
        <v>31</v>
      </c>
      <c r="G4" s="3" t="s">
        <v>17</v>
      </c>
      <c r="M4" s="16">
        <f>K3-(K5+K7)</f>
        <v>-2246</v>
      </c>
      <c r="N4" s="17"/>
    </row>
    <row r="5" spans="1:14" x14ac:dyDescent="0.25">
      <c r="A5" s="4"/>
      <c r="I5" s="14" t="s">
        <v>42</v>
      </c>
      <c r="J5" s="14"/>
      <c r="K5" s="11">
        <f>COMPRAS!E2</f>
        <v>213</v>
      </c>
    </row>
    <row r="6" spans="1:14" x14ac:dyDescent="0.25">
      <c r="A6" s="4"/>
    </row>
    <row r="7" spans="1:14" x14ac:dyDescent="0.25">
      <c r="A7" s="4"/>
      <c r="I7" s="14" t="s">
        <v>40</v>
      </c>
      <c r="J7" s="14"/>
      <c r="K7" s="11">
        <f>GASTOS!F4</f>
        <v>2033</v>
      </c>
    </row>
    <row r="8" spans="1:14" x14ac:dyDescent="0.25">
      <c r="A8" s="4"/>
    </row>
    <row r="9" spans="1:14" x14ac:dyDescent="0.25">
      <c r="A9" s="4"/>
    </row>
    <row r="10" spans="1:14" x14ac:dyDescent="0.25">
      <c r="A10" s="4"/>
    </row>
    <row r="11" spans="1:14" x14ac:dyDescent="0.25">
      <c r="A11" s="4"/>
    </row>
    <row r="12" spans="1:14" x14ac:dyDescent="0.25">
      <c r="A12" s="4"/>
    </row>
    <row r="13" spans="1:14" x14ac:dyDescent="0.25">
      <c r="A13" s="4"/>
    </row>
    <row r="14" spans="1:14" x14ac:dyDescent="0.25">
      <c r="A14" s="4"/>
    </row>
    <row r="15" spans="1:14" x14ac:dyDescent="0.25">
      <c r="A15" s="4"/>
    </row>
    <row r="16" spans="1:1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  <row r="73" spans="1:1" x14ac:dyDescent="0.25">
      <c r="A73" s="4"/>
    </row>
    <row r="74" spans="1:1" x14ac:dyDescent="0.25">
      <c r="A74" s="4"/>
    </row>
    <row r="75" spans="1:1" x14ac:dyDescent="0.25">
      <c r="A75" s="4"/>
    </row>
    <row r="76" spans="1:1" x14ac:dyDescent="0.25">
      <c r="A76" s="4"/>
    </row>
    <row r="77" spans="1:1" x14ac:dyDescent="0.25">
      <c r="A77" s="4"/>
    </row>
    <row r="78" spans="1:1" x14ac:dyDescent="0.25">
      <c r="A78" s="4"/>
    </row>
    <row r="79" spans="1:1" x14ac:dyDescent="0.25">
      <c r="A79" s="4"/>
    </row>
    <row r="80" spans="1:1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x14ac:dyDescent="0.25">
      <c r="A136" s="4"/>
    </row>
    <row r="137" spans="1:1" x14ac:dyDescent="0.25">
      <c r="A137" s="4"/>
    </row>
    <row r="138" spans="1:1" x14ac:dyDescent="0.25">
      <c r="A138" s="4"/>
    </row>
    <row r="139" spans="1:1" x14ac:dyDescent="0.25">
      <c r="A139" s="4"/>
    </row>
    <row r="140" spans="1: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  <row r="144" spans="1:1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  <row r="168" spans="1:1" x14ac:dyDescent="0.25">
      <c r="A168" s="4"/>
    </row>
    <row r="169" spans="1:1" x14ac:dyDescent="0.25">
      <c r="A169" s="4"/>
    </row>
    <row r="170" spans="1:1" x14ac:dyDescent="0.25">
      <c r="A170" s="4"/>
    </row>
    <row r="171" spans="1:1" x14ac:dyDescent="0.25">
      <c r="A171" s="4"/>
    </row>
    <row r="172" spans="1:1" x14ac:dyDescent="0.25">
      <c r="A172" s="4"/>
    </row>
    <row r="173" spans="1:1" x14ac:dyDescent="0.25">
      <c r="A173" s="4"/>
    </row>
    <row r="174" spans="1:1" x14ac:dyDescent="0.25">
      <c r="A174" s="4"/>
    </row>
    <row r="175" spans="1:1" x14ac:dyDescent="0.25">
      <c r="A175" s="4"/>
    </row>
    <row r="176" spans="1:1" x14ac:dyDescent="0.25">
      <c r="A176" s="4"/>
    </row>
    <row r="177" spans="1:1" x14ac:dyDescent="0.25">
      <c r="A177" s="4"/>
    </row>
  </sheetData>
  <sheetProtection selectLockedCells="1" selectUnlockedCells="1"/>
  <mergeCells count="6">
    <mergeCell ref="I3:J3"/>
    <mergeCell ref="A1:G3"/>
    <mergeCell ref="I5:J5"/>
    <mergeCell ref="I7:J7"/>
    <mergeCell ref="M3:N3"/>
    <mergeCell ref="M4:N4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77C73-8AC3-4B94-A673-6C789AA6A70E}">
  <sheetPr codeName="Hoja6"/>
  <dimension ref="A1:F14"/>
  <sheetViews>
    <sheetView workbookViewId="0">
      <selection activeCell="E19" sqref="E19"/>
    </sheetView>
  </sheetViews>
  <sheetFormatPr baseColWidth="10" defaultRowHeight="15" x14ac:dyDescent="0.25"/>
  <cols>
    <col min="1" max="1" width="15.28515625" bestFit="1" customWidth="1"/>
    <col min="2" max="2" width="23" bestFit="1" customWidth="1"/>
  </cols>
  <sheetData>
    <row r="1" spans="1:6" x14ac:dyDescent="0.25">
      <c r="A1" s="3" t="s">
        <v>28</v>
      </c>
      <c r="B1" s="3" t="s">
        <v>29</v>
      </c>
      <c r="C1" s="3" t="s">
        <v>9</v>
      </c>
    </row>
    <row r="2" spans="1:6" x14ac:dyDescent="0.25">
      <c r="A2" t="s">
        <v>21</v>
      </c>
      <c r="B2" t="s">
        <v>1</v>
      </c>
      <c r="C2">
        <v>1</v>
      </c>
    </row>
    <row r="3" spans="1:6" x14ac:dyDescent="0.25">
      <c r="A3" t="s">
        <v>21</v>
      </c>
      <c r="B3" t="s">
        <v>7</v>
      </c>
      <c r="C3">
        <v>1</v>
      </c>
    </row>
    <row r="4" spans="1:6" x14ac:dyDescent="0.25">
      <c r="A4" t="s">
        <v>22</v>
      </c>
      <c r="B4" t="s">
        <v>5</v>
      </c>
      <c r="C4">
        <v>1</v>
      </c>
    </row>
    <row r="5" spans="1:6" x14ac:dyDescent="0.25">
      <c r="A5" t="s">
        <v>22</v>
      </c>
      <c r="B5" t="s">
        <v>7</v>
      </c>
      <c r="C5">
        <v>1</v>
      </c>
    </row>
    <row r="6" spans="1:6" x14ac:dyDescent="0.25">
      <c r="A6" t="s">
        <v>25</v>
      </c>
      <c r="B6" t="s">
        <v>2</v>
      </c>
      <c r="C6">
        <v>1</v>
      </c>
    </row>
    <row r="7" spans="1:6" x14ac:dyDescent="0.25">
      <c r="A7" t="s">
        <v>25</v>
      </c>
      <c r="B7" t="s">
        <v>6</v>
      </c>
      <c r="C7">
        <v>1</v>
      </c>
      <c r="F7" s="5"/>
    </row>
    <row r="8" spans="1:6" x14ac:dyDescent="0.25">
      <c r="A8" t="s">
        <v>23</v>
      </c>
      <c r="B8" t="s">
        <v>3</v>
      </c>
      <c r="C8">
        <v>1</v>
      </c>
    </row>
    <row r="9" spans="1:6" x14ac:dyDescent="0.25">
      <c r="A9" t="s">
        <v>23</v>
      </c>
      <c r="B9" t="s">
        <v>7</v>
      </c>
      <c r="C9">
        <v>1</v>
      </c>
      <c r="D9" s="5"/>
    </row>
    <row r="10" spans="1:6" x14ac:dyDescent="0.25">
      <c r="A10" t="s">
        <v>24</v>
      </c>
      <c r="B10" t="s">
        <v>4</v>
      </c>
      <c r="C10">
        <v>1</v>
      </c>
    </row>
    <row r="11" spans="1:6" x14ac:dyDescent="0.25">
      <c r="A11" t="s">
        <v>24</v>
      </c>
      <c r="B11" t="s">
        <v>6</v>
      </c>
      <c r="C11">
        <v>1</v>
      </c>
    </row>
    <row r="12" spans="1:6" x14ac:dyDescent="0.25">
      <c r="A12" t="s">
        <v>13</v>
      </c>
      <c r="B12" t="s">
        <v>13</v>
      </c>
      <c r="C12">
        <v>1</v>
      </c>
    </row>
    <row r="13" spans="1:6" x14ac:dyDescent="0.25">
      <c r="A13" t="s">
        <v>30</v>
      </c>
      <c r="B13" t="s">
        <v>30</v>
      </c>
      <c r="C13">
        <v>1</v>
      </c>
    </row>
    <row r="14" spans="1:6" x14ac:dyDescent="0.25">
      <c r="A14" t="s">
        <v>14</v>
      </c>
      <c r="B14" t="s">
        <v>14</v>
      </c>
      <c r="C14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6597-0BCA-47B0-A83E-BB9F7BFDC671}">
  <sheetPr codeName="Hoja34"/>
  <dimension ref="A1:F11"/>
  <sheetViews>
    <sheetView workbookViewId="0">
      <selection activeCell="G19" sqref="G19"/>
    </sheetView>
  </sheetViews>
  <sheetFormatPr baseColWidth="10" defaultRowHeight="15" x14ac:dyDescent="0.25"/>
  <cols>
    <col min="1" max="1" width="23" bestFit="1" customWidth="1"/>
    <col min="3" max="3" width="11.42578125" style="7"/>
  </cols>
  <sheetData>
    <row r="1" spans="1:6" x14ac:dyDescent="0.25">
      <c r="A1" s="3" t="s">
        <v>29</v>
      </c>
      <c r="B1" s="3" t="s">
        <v>9</v>
      </c>
      <c r="C1" s="10" t="s">
        <v>34</v>
      </c>
      <c r="D1" s="3" t="s">
        <v>41</v>
      </c>
      <c r="E1" s="14" t="s">
        <v>42</v>
      </c>
      <c r="F1" s="14"/>
    </row>
    <row r="2" spans="1:6" x14ac:dyDescent="0.25">
      <c r="A2" t="s">
        <v>1</v>
      </c>
      <c r="B2">
        <v>2</v>
      </c>
      <c r="C2" s="7">
        <v>15</v>
      </c>
      <c r="D2" s="11">
        <f>B2*C2</f>
        <v>30</v>
      </c>
      <c r="E2" s="18">
        <f>SUM(D:D)</f>
        <v>213</v>
      </c>
      <c r="F2" s="18"/>
    </row>
    <row r="3" spans="1:6" x14ac:dyDescent="0.25">
      <c r="A3" t="s">
        <v>5</v>
      </c>
      <c r="B3">
        <v>3</v>
      </c>
      <c r="C3" s="7">
        <v>20</v>
      </c>
      <c r="D3" s="11">
        <f t="shared" ref="D3:D11" si="0">B3*C3</f>
        <v>60</v>
      </c>
    </row>
    <row r="4" spans="1:6" x14ac:dyDescent="0.25">
      <c r="A4" t="s">
        <v>2</v>
      </c>
      <c r="B4">
        <v>4</v>
      </c>
      <c r="C4" s="7">
        <v>10</v>
      </c>
      <c r="D4" s="11">
        <f t="shared" si="0"/>
        <v>40</v>
      </c>
    </row>
    <row r="5" spans="1:6" x14ac:dyDescent="0.25">
      <c r="A5" t="s">
        <v>3</v>
      </c>
      <c r="B5">
        <v>1</v>
      </c>
      <c r="C5" s="7">
        <v>10</v>
      </c>
      <c r="D5" s="11">
        <f t="shared" si="0"/>
        <v>10</v>
      </c>
    </row>
    <row r="6" spans="1:6" x14ac:dyDescent="0.25">
      <c r="A6" t="s">
        <v>4</v>
      </c>
      <c r="B6">
        <v>1</v>
      </c>
      <c r="C6" s="7">
        <v>20</v>
      </c>
      <c r="D6" s="11">
        <f t="shared" si="0"/>
        <v>20</v>
      </c>
    </row>
    <row r="7" spans="1:6" x14ac:dyDescent="0.25">
      <c r="A7" t="s">
        <v>7</v>
      </c>
      <c r="B7">
        <v>1</v>
      </c>
      <c r="C7" s="7">
        <v>5</v>
      </c>
      <c r="D7" s="11">
        <f t="shared" si="0"/>
        <v>5</v>
      </c>
    </row>
    <row r="8" spans="1:6" x14ac:dyDescent="0.25">
      <c r="A8" t="s">
        <v>6</v>
      </c>
      <c r="B8">
        <v>1</v>
      </c>
      <c r="C8" s="7">
        <v>8</v>
      </c>
      <c r="D8" s="11">
        <f t="shared" si="0"/>
        <v>8</v>
      </c>
    </row>
    <row r="9" spans="1:6" x14ac:dyDescent="0.25">
      <c r="A9" t="s">
        <v>13</v>
      </c>
      <c r="B9">
        <v>1</v>
      </c>
      <c r="C9" s="7">
        <v>15</v>
      </c>
      <c r="D9" s="11">
        <f t="shared" si="0"/>
        <v>15</v>
      </c>
    </row>
    <row r="10" spans="1:6" x14ac:dyDescent="0.25">
      <c r="A10" t="s">
        <v>30</v>
      </c>
      <c r="B10">
        <v>1</v>
      </c>
      <c r="C10" s="7">
        <v>15</v>
      </c>
      <c r="D10" s="11">
        <f t="shared" si="0"/>
        <v>15</v>
      </c>
    </row>
    <row r="11" spans="1:6" x14ac:dyDescent="0.25">
      <c r="A11" t="s">
        <v>14</v>
      </c>
      <c r="B11">
        <v>1</v>
      </c>
      <c r="C11" s="7">
        <v>10</v>
      </c>
      <c r="D11" s="11">
        <f t="shared" si="0"/>
        <v>10</v>
      </c>
    </row>
  </sheetData>
  <mergeCells count="2">
    <mergeCell ref="E1:F1"/>
    <mergeCell ref="E2:F2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776B0-37FE-47A2-BB5E-4321A00262FF}">
  <sheetPr codeName="Hoja35"/>
  <dimension ref="A1:G19"/>
  <sheetViews>
    <sheetView tabSelected="1" workbookViewId="0">
      <selection activeCell="H19" sqref="H19"/>
    </sheetView>
  </sheetViews>
  <sheetFormatPr baseColWidth="10" defaultRowHeight="15" x14ac:dyDescent="0.25"/>
  <cols>
    <col min="3" max="3" width="11.42578125" style="7"/>
    <col min="4" max="4" width="14.42578125" style="7" bestFit="1" customWidth="1"/>
  </cols>
  <sheetData>
    <row r="1" spans="1:7" x14ac:dyDescent="0.25">
      <c r="A1" s="3" t="s">
        <v>35</v>
      </c>
      <c r="B1" s="3" t="s">
        <v>36</v>
      </c>
      <c r="C1" s="10" t="s">
        <v>37</v>
      </c>
      <c r="D1" s="10" t="s">
        <v>38</v>
      </c>
    </row>
    <row r="2" spans="1:7" x14ac:dyDescent="0.25">
      <c r="A2" t="s">
        <v>39</v>
      </c>
      <c r="B2">
        <v>1</v>
      </c>
      <c r="C2" s="7">
        <v>10</v>
      </c>
      <c r="D2" s="7">
        <f>B2*C2</f>
        <v>10</v>
      </c>
    </row>
    <row r="3" spans="1:7" x14ac:dyDescent="0.25">
      <c r="A3" t="s">
        <v>39</v>
      </c>
      <c r="B3">
        <v>2</v>
      </c>
      <c r="C3" s="7">
        <v>15</v>
      </c>
      <c r="D3" s="7">
        <f t="shared" ref="D3:D19" si="0">B3*C3</f>
        <v>30</v>
      </c>
      <c r="F3" s="14" t="s">
        <v>40</v>
      </c>
      <c r="G3" s="14"/>
    </row>
    <row r="4" spans="1:7" x14ac:dyDescent="0.25">
      <c r="A4" t="s">
        <v>39</v>
      </c>
      <c r="B4">
        <v>3</v>
      </c>
      <c r="C4" s="7">
        <v>23</v>
      </c>
      <c r="D4" s="7">
        <f t="shared" si="0"/>
        <v>69</v>
      </c>
      <c r="F4" s="16">
        <f>SUM(D:D)</f>
        <v>2033</v>
      </c>
      <c r="G4" s="17"/>
    </row>
    <row r="5" spans="1:7" x14ac:dyDescent="0.25">
      <c r="A5" t="s">
        <v>39</v>
      </c>
      <c r="B5">
        <v>1</v>
      </c>
      <c r="C5" s="7">
        <v>58</v>
      </c>
      <c r="D5" s="7">
        <f t="shared" si="0"/>
        <v>58</v>
      </c>
    </row>
    <row r="6" spans="1:7" x14ac:dyDescent="0.25">
      <c r="A6" t="s">
        <v>39</v>
      </c>
      <c r="B6">
        <v>4</v>
      </c>
      <c r="C6" s="7">
        <v>46</v>
      </c>
      <c r="D6" s="7">
        <f t="shared" si="0"/>
        <v>184</v>
      </c>
    </row>
    <row r="7" spans="1:7" x14ac:dyDescent="0.25">
      <c r="A7" t="s">
        <v>39</v>
      </c>
      <c r="B7">
        <v>5</v>
      </c>
      <c r="C7" s="7">
        <v>39</v>
      </c>
      <c r="D7" s="7">
        <f t="shared" si="0"/>
        <v>195</v>
      </c>
    </row>
    <row r="8" spans="1:7" x14ac:dyDescent="0.25">
      <c r="A8" t="s">
        <v>39</v>
      </c>
      <c r="B8">
        <v>6</v>
      </c>
      <c r="C8" s="7">
        <v>15</v>
      </c>
      <c r="D8" s="7">
        <f t="shared" si="0"/>
        <v>90</v>
      </c>
    </row>
    <row r="9" spans="1:7" x14ac:dyDescent="0.25">
      <c r="A9" t="s">
        <v>39</v>
      </c>
      <c r="B9">
        <v>7</v>
      </c>
      <c r="C9" s="7">
        <v>12</v>
      </c>
      <c r="D9" s="7">
        <f t="shared" si="0"/>
        <v>84</v>
      </c>
    </row>
    <row r="10" spans="1:7" x14ac:dyDescent="0.25">
      <c r="A10" t="s">
        <v>39</v>
      </c>
      <c r="B10">
        <v>8</v>
      </c>
      <c r="C10" s="7">
        <v>47</v>
      </c>
      <c r="D10" s="7">
        <f t="shared" si="0"/>
        <v>376</v>
      </c>
    </row>
    <row r="11" spans="1:7" x14ac:dyDescent="0.25">
      <c r="A11" t="s">
        <v>39</v>
      </c>
      <c r="B11">
        <v>9</v>
      </c>
      <c r="C11" s="7">
        <v>46</v>
      </c>
      <c r="D11" s="7">
        <f t="shared" si="0"/>
        <v>414</v>
      </c>
    </row>
    <row r="12" spans="1:7" x14ac:dyDescent="0.25">
      <c r="A12" t="s">
        <v>39</v>
      </c>
      <c r="B12">
        <v>10</v>
      </c>
      <c r="C12" s="7">
        <v>35</v>
      </c>
      <c r="D12" s="7">
        <f t="shared" si="0"/>
        <v>350</v>
      </c>
    </row>
    <row r="13" spans="1:7" x14ac:dyDescent="0.25">
      <c r="A13" t="s">
        <v>39</v>
      </c>
      <c r="B13">
        <v>4</v>
      </c>
      <c r="C13" s="7">
        <v>12</v>
      </c>
      <c r="D13" s="7">
        <f t="shared" si="0"/>
        <v>48</v>
      </c>
    </row>
    <row r="14" spans="1:7" x14ac:dyDescent="0.25">
      <c r="A14" t="s">
        <v>39</v>
      </c>
      <c r="B14">
        <v>3</v>
      </c>
      <c r="C14" s="7">
        <v>18</v>
      </c>
      <c r="D14" s="7">
        <f t="shared" si="0"/>
        <v>54</v>
      </c>
    </row>
    <row r="15" spans="1:7" x14ac:dyDescent="0.25">
      <c r="A15" t="s">
        <v>39</v>
      </c>
      <c r="B15">
        <v>2</v>
      </c>
      <c r="C15" s="7">
        <v>1</v>
      </c>
      <c r="D15" s="7">
        <f t="shared" si="0"/>
        <v>2</v>
      </c>
    </row>
    <row r="16" spans="1:7" x14ac:dyDescent="0.25">
      <c r="A16" t="s">
        <v>39</v>
      </c>
      <c r="B16">
        <v>5</v>
      </c>
      <c r="C16" s="7">
        <v>2</v>
      </c>
      <c r="D16" s="7">
        <f t="shared" si="0"/>
        <v>10</v>
      </c>
    </row>
    <row r="17" spans="1:4" x14ac:dyDescent="0.25">
      <c r="A17" t="s">
        <v>39</v>
      </c>
      <c r="B17">
        <v>7</v>
      </c>
      <c r="C17" s="7">
        <v>5</v>
      </c>
      <c r="D17" s="7">
        <f t="shared" si="0"/>
        <v>35</v>
      </c>
    </row>
    <row r="18" spans="1:4" x14ac:dyDescent="0.25">
      <c r="A18" t="s">
        <v>39</v>
      </c>
      <c r="B18">
        <v>1</v>
      </c>
      <c r="C18" s="7">
        <v>6</v>
      </c>
      <c r="D18" s="7">
        <f t="shared" si="0"/>
        <v>6</v>
      </c>
    </row>
    <row r="19" spans="1:4" x14ac:dyDescent="0.25">
      <c r="A19" t="s">
        <v>39</v>
      </c>
      <c r="B19">
        <v>6</v>
      </c>
      <c r="C19" s="7">
        <v>3</v>
      </c>
      <c r="D19" s="7">
        <f t="shared" si="0"/>
        <v>18</v>
      </c>
    </row>
  </sheetData>
  <mergeCells count="2">
    <mergeCell ref="F3:G3"/>
    <mergeCell ref="F4:G4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fd71f44-3d10-444e-93d8-1b581f7a7b2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17FBAA3DE72F742AA3B71990791F917" ma:contentTypeVersion="5" ma:contentTypeDescription="Create a new document." ma:contentTypeScope="" ma:versionID="f01c711ae05a046a0aec03e3f0a0127d">
  <xsd:schema xmlns:xsd="http://www.w3.org/2001/XMLSchema" xmlns:xs="http://www.w3.org/2001/XMLSchema" xmlns:p="http://schemas.microsoft.com/office/2006/metadata/properties" xmlns:ns3="1fd71f44-3d10-444e-93d8-1b581f7a7b2e" targetNamespace="http://schemas.microsoft.com/office/2006/metadata/properties" ma:root="true" ma:fieldsID="19391a6555bc22c57728f30a2e195a34" ns3:_="">
    <xsd:import namespace="1fd71f44-3d10-444e-93d8-1b581f7a7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d71f44-3d10-444e-93d8-1b581f7a7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063913-F2DD-4917-80E7-E710C25C8AEE}">
  <ds:schemaRefs>
    <ds:schemaRef ds:uri="http://purl.org/dc/terms/"/>
    <ds:schemaRef ds:uri="1fd71f44-3d10-444e-93d8-1b581f7a7b2e"/>
    <ds:schemaRef ds:uri="http://purl.org/dc/elements/1.1/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C864A7C-7C26-49F8-9D76-248E7ED060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1EB3D3-9762-4D91-95BD-F63029CF59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d71f44-3d10-444e-93d8-1b581f7a7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CAJA</vt:lpstr>
      <vt:lpstr>TICKETS</vt:lpstr>
      <vt:lpstr>INVENTARIO</vt:lpstr>
      <vt:lpstr>BALANCE</vt:lpstr>
      <vt:lpstr>COMPOSICION</vt:lpstr>
      <vt:lpstr>COMPRAS</vt:lpstr>
      <vt:lpstr>GASTOS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surface</dc:creator>
  <cp:lastModifiedBy>SEBASTIAN FUENTES GARCIA</cp:lastModifiedBy>
  <cp:lastPrinted>2023-11-09T01:02:27Z</cp:lastPrinted>
  <dcterms:created xsi:type="dcterms:W3CDTF">2023-07-21T02:22:47Z</dcterms:created>
  <dcterms:modified xsi:type="dcterms:W3CDTF">2023-11-25T16:59:30Z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0x010100F17FBAA3DE72F742AA3B71990791F917</vt:lpwstr>
  </property>
</Properties>
</file>